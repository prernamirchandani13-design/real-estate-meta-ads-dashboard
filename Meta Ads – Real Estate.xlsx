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Data_Cleaned" sheetId="2" r:id="rId6"/>
    <sheet state="visible" name="Calculations" sheetId="3" r:id="rId7"/>
    <sheet state="visible" name="Pivot_tables" sheetId="4" r:id="rId8"/>
    <sheet state="visible" name="Dashboard" sheetId="5" r:id="rId9"/>
    <sheet state="visible" name="Insights" sheetId="6" r:id="rId10"/>
  </sheets>
  <definedNames/>
  <calcPr/>
  <pivotCaches>
    <pivotCache cacheId="0" r:id="rId11"/>
  </pivotCaches>
</workbook>
</file>

<file path=xl/sharedStrings.xml><?xml version="1.0" encoding="utf-8"?>
<sst xmlns="http://schemas.openxmlformats.org/spreadsheetml/2006/main" count="258" uniqueCount="72">
  <si>
    <t>Date,Campaign_Name,Ad_Set,City,Lead_Type,Spend,Impressions,Clicks,Leads,Appointments_Booked</t>
  </si>
  <si>
    <t>2025-01-01,Seller Home Value,City Targeting - Delhi,Delhi,Seller,3200,42000,520,18,6</t>
  </si>
  <si>
    <t>2025-01-01,Buyer Listings,Interest - First Time Buyers,Mumbai,Buyer,2800,39000,610,25,5</t>
  </si>
  <si>
    <t>2025-01-02,Seller Home Value,Lookalike 1%,Delhi,Seller,3500,46000,580,20,8</t>
  </si>
  <si>
    <t>2025-01-02,Open House Promo,Radius 5km,Bangalore,Buyer,1800,27000,390,14,3</t>
  </si>
  <si>
    <t>2025-01-03,Buyer Listings,Interest - Property Investors,Pune,Buyer,2600,36000,540,22,4</t>
  </si>
  <si>
    <t>2025-01-03,Seller Downsizing,Age 45+,Mumbai,Seller,3000,33000,410,15,7</t>
  </si>
  <si>
    <t>2025-01-04,Seller Home Value,Lookalike 1%,Delhi,Seller,3700,48000,600,21,9</t>
  </si>
  <si>
    <t>2025-01-04,Buyer Listings,Interest - First Time Buyers,Bangalore,Buyer,2400,34000,510,19,4</t>
  </si>
  <si>
    <t>2025-01-05,Open House Promo,Radius 3km,Pune,Buyer,1600,22000,300,11,2</t>
  </si>
  <si>
    <t>2025-01-05,Seller Downsizing,Age 45+,Mumbai,Seller,3100,35000,430,16,7</t>
  </si>
  <si>
    <t>2025-01-06,Seller Home Value,City Targeting - Delhi,Delhi,Seller,3300,44000,550,19,8</t>
  </si>
  <si>
    <t>2025-01-06,Buyer Listings,Interest - Property Investors,Mumbai,Buyer,2900,41000,620,26,5</t>
  </si>
  <si>
    <t>2025-01-07,Seller Home Value,Lookalike 1%,Delhi,Seller,3600,47000,590,22,9</t>
  </si>
  <si>
    <t>2025-01-07,Open House Promo,Radius 5km,Bangalore,Buyer,1900,28000,410,15,3</t>
  </si>
  <si>
    <t>2025-01-08,Buyer Listings,Interest - First Time Buyers,Pune,Buyer,2500,37000,560,23,4</t>
  </si>
  <si>
    <t>2025-01-08,Seller Downsizing,Age 45+,Mumbai,Seller,3200,36000,440,17,8</t>
  </si>
  <si>
    <t>2025-01-09,Seller Home Value,City Targeting - Delhi,Delhi,Seller,3400,45000,570,20,8</t>
  </si>
  <si>
    <t>2025-01-09,Buyer Listings,Interest - Property Investors,Bangalore,Buyer,2300,33000,480,18,3</t>
  </si>
  <si>
    <t>2025-01-10,Open House Promo,Radius 3km,Pune,Buyer,1700,24000,320,12,2</t>
  </si>
  <si>
    <t>2025-01-10,Seller Downsizing,Age 45+,Mumbai,Seller,3000,34000,420,16,7</t>
  </si>
  <si>
    <t>Date</t>
  </si>
  <si>
    <t>Campaign_Name</t>
  </si>
  <si>
    <t>Ad_Set</t>
  </si>
  <si>
    <t>City</t>
  </si>
  <si>
    <t>Lead_Type</t>
  </si>
  <si>
    <t>Spend</t>
  </si>
  <si>
    <t>Impressions</t>
  </si>
  <si>
    <t>Clicks</t>
  </si>
  <si>
    <t>Leads</t>
  </si>
  <si>
    <t>Appointments_Booked</t>
  </si>
  <si>
    <t>Seller Home Value</t>
  </si>
  <si>
    <t>City Targeting - Delhi</t>
  </si>
  <si>
    <t>Delhi</t>
  </si>
  <si>
    <t>Seller</t>
  </si>
  <si>
    <t>Buyer Listings</t>
  </si>
  <si>
    <t>Interest - First Time Buyers</t>
  </si>
  <si>
    <t>Mumbai</t>
  </si>
  <si>
    <t>Buyer</t>
  </si>
  <si>
    <t>Lookalike 1%</t>
  </si>
  <si>
    <t>Open House Promo</t>
  </si>
  <si>
    <t>Radius 5km</t>
  </si>
  <si>
    <t>Bangalore</t>
  </si>
  <si>
    <t>Interest - Property Investors</t>
  </si>
  <si>
    <t>Pune</t>
  </si>
  <si>
    <t>Seller Downsizing</t>
  </si>
  <si>
    <t>Age 45+</t>
  </si>
  <si>
    <t>Radius 3km</t>
  </si>
  <si>
    <t>CTR (%)</t>
  </si>
  <si>
    <t>CPC</t>
  </si>
  <si>
    <t>CPL</t>
  </si>
  <si>
    <t>Appointment_Rate (%)</t>
  </si>
  <si>
    <t>Pivot_Analysis</t>
  </si>
  <si>
    <t>SUM of Spend</t>
  </si>
  <si>
    <t>SUM of Leads</t>
  </si>
  <si>
    <t>SUM of Appointments_Booked</t>
  </si>
  <si>
    <t>AVERAGE of CPC</t>
  </si>
  <si>
    <t>AVERAGE of CPL</t>
  </si>
  <si>
    <t>Grand Total</t>
  </si>
  <si>
    <t>AVERAGE of Appointments_Booked</t>
  </si>
  <si>
    <t>Total_Leads</t>
  </si>
  <si>
    <t>Total_Spend</t>
  </si>
  <si>
    <t xml:space="preserve">Key Takeaways
1. Seller Leads Drive High-Intent Appointments Despite Higher Cost
There is a clear trade-off between the cost and quality of your leads, with 'Seller' leads converting to appointments at more than double the rate of 'Buyer' leads.
Higher Conversion Rate: Seller leads have an average Appointment Rate of 42.00%, significantly higher than the 19.00% rate for Buyer leads. This suggests people interested in selling are more decisive.
Increased Cost per Lead: The higher quality comes with a higher cost. The average CPL for Seller leads is $180.58, which is 45% higher than the CPL for Buyer leads at $124.69.
2. 'Buyer Listings' is the Volume Driver, but 'Seller Home Value' is the Revenue Enabler
Your campaigns are split between driving high volume for lower costs and attracting high-value seller leads.
Most Leads (Lowest CPL): The 'Buyer Listings' campaign generated the most leads (133) and has the lowest average CPL at $117.42, making it your most efficient campaign for pure volume acquisition.
Seller Focus (Volume &amp; Cost): The 'Seller Home Value' campaign is the second-highest lead generator (120) but comes with a higher CPL of $172.71, aligning with the higher overall cost of seller leads.
3. Geographical Performance Shows Clear CPL and Volume Differences
Lead generation performance varies significantly across your operating cities, particularly in the cost efficiency of the leads acquired.
Most Cost-Effective Cities: Bangalore (Avg CPL: $127.33) and Pune (Avg CPL: $128.50) are the most cost-efficient cities for acquiring leads.
Highest Volume/Higher Cost: Delhi and Mumbai account for the highest lead volume (120 and 115 leads, respectively) but also have the highest average CPLs ($172.71 and $165.50).
</t>
  </si>
  <si>
    <t>Metric</t>
  </si>
  <si>
    <t>Value</t>
  </si>
  <si>
    <t>Total Spend</t>
  </si>
  <si>
    <t>$55,500.00</t>
  </si>
  <si>
    <t>Total Leads</t>
  </si>
  <si>
    <t>Total Appointments Booked</t>
  </si>
  <si>
    <t>Average CPL</t>
  </si>
  <si>
    <t>$152.63</t>
  </si>
  <si>
    <t>Average Appointment Rate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</si>
</sst>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0.00"/>
  </numFmts>
  <fonts count="4">
    <font>
      <sz val="10.0"/>
      <color rgb="FF000000"/>
      <name val="Arial"/>
      <scheme val="minor"/>
    </font>
    <font>
      <color theme="1"/>
      <name val="Arial"/>
      <scheme val="minor"/>
    </font>
    <font>
      <b/>
      <color theme="1"/>
      <name val="Arial"/>
      <scheme val="minor"/>
    </font>
    <font>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4" xfId="0" applyAlignment="1" applyFont="1" applyNumberFormat="1">
      <alignment readingOrder="0" shrinkToFit="0" vertical="center" wrapText="0"/>
    </xf>
    <xf borderId="0" fillId="0" fontId="1" numFmtId="0" xfId="0" applyAlignment="1" applyFont="1">
      <alignment horizontal="left" readingOrder="0" shrinkToFit="0" vertical="center" wrapText="0"/>
    </xf>
    <xf borderId="0" fillId="0" fontId="1" numFmtId="10"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xf>
    <xf borderId="0" fillId="0" fontId="1" numFmtId="0" xfId="0" applyFont="1"/>
    <xf borderId="0" fillId="0" fontId="1" numFmtId="4" xfId="0" applyFont="1" applyNumberFormat="1"/>
    <xf borderId="0" fillId="0" fontId="1" numFmtId="165" xfId="0" applyFont="1" applyNumberFormat="1"/>
    <xf borderId="0" fillId="0" fontId="1" numFmtId="164" xfId="0" applyFont="1" applyNumberFormat="1"/>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3" numFmtId="0" xfId="0" applyAlignment="1" applyFont="1">
      <alignment readingOrder="0" shrinkToFit="0" wrapText="1"/>
    </xf>
    <xf borderId="0" fillId="0" fontId="1" numFmtId="0" xfId="0" applyAlignment="1" applyFont="1">
      <alignment readingOrder="0" shrinkToFit="0" vertical="center" wrapText="0"/>
    </xf>
    <xf borderId="0" fillId="0" fontId="1" numFmtId="10" xfId="0" applyAlignment="1" applyFont="1" applyNumberFormat="1">
      <alignment shrinkToFit="0" vertical="center" wrapText="0"/>
    </xf>
    <xf borderId="0" fillId="0" fontId="1" numFmtId="0" xfId="0" applyAlignment="1" applyFont="1">
      <alignment shrinkToFit="0"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5">
    <tableStyle count="4" pivot="0" name="Data_Cleaned-style">
      <tableStyleElement dxfId="1" type="headerRow"/>
      <tableStyleElement dxfId="2" type="firstRowStripe"/>
      <tableStyleElement dxfId="3" type="secondRowStripe"/>
      <tableStyleElement dxfId="4" size="0" type="wholeTable"/>
    </tableStyle>
    <tableStyle count="4" pivot="0" name="Calculations-style">
      <tableStyleElement dxfId="1" type="headerRow"/>
      <tableStyleElement dxfId="2" type="firstRowStripe"/>
      <tableStyleElement dxfId="3" type="secondRowStripe"/>
      <tableStyleElement dxfId="4" size="0" type="wholeTable"/>
    </tableStyle>
    <tableStyle count="4" pivot="0" name="Dashboard-style">
      <tableStyleElement dxfId="5" type="headerRow"/>
      <tableStyleElement dxfId="2" type="firstRowStripe"/>
      <tableStyleElement dxfId="3" type="secondRowStripe"/>
      <tableStyleElement dxfId="4" size="0" type="wholeTable"/>
    </tableStyle>
    <tableStyle count="4" pivot="0" name="Dashboard-style 2">
      <tableStyleElement dxfId="5" type="headerRow"/>
      <tableStyleElement dxfId="2" type="firstRowStripe"/>
      <tableStyleElement dxfId="3" type="secondRowStripe"/>
      <tableStyleElement dxfId="4" size="0" type="wholeTable"/>
    </tableStyle>
    <tableStyle count="4" pivot="0" name="Insights-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Total Leads and Average CPL by City</a:t>
            </a:r>
          </a:p>
        </c:rich>
      </c:tx>
      <c:overlay val="0"/>
    </c:title>
    <c:plotArea>
      <c:layout/>
      <c:barChart>
        <c:barDir val="col"/>
        <c:ser>
          <c:idx val="0"/>
          <c:order val="0"/>
          <c:tx>
            <c:strRef>
              <c:f>Dashboard!$B$3</c:f>
            </c:strRef>
          </c:tx>
          <c:spPr>
            <a:solidFill>
              <a:schemeClr val="accent1"/>
            </a:solidFill>
            <a:ln cmpd="sng">
              <a:solidFill>
                <a:srgbClr val="000000"/>
              </a:solidFill>
            </a:ln>
          </c:spPr>
          <c:cat>
            <c:strRef>
              <c:f>Dashboard!$A$4:$A$7</c:f>
            </c:strRef>
          </c:cat>
          <c:val>
            <c:numRef>
              <c:f>Dashboard!$B$4:$B$7</c:f>
              <c:numCache/>
            </c:numRef>
          </c:val>
        </c:ser>
        <c:axId val="1853269641"/>
        <c:axId val="487259981"/>
      </c:barChart>
      <c:catAx>
        <c:axId val="1853269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City</a:t>
                </a:r>
              </a:p>
            </c:rich>
          </c:tx>
          <c:overlay val="0"/>
        </c:title>
        <c:numFmt formatCode="General" sourceLinked="1"/>
        <c:majorTickMark val="none"/>
        <c:minorTickMark val="none"/>
        <c:spPr/>
        <c:txPr>
          <a:bodyPr/>
          <a:lstStyle/>
          <a:p>
            <a:pPr lvl="0">
              <a:defRPr b="0">
                <a:solidFill>
                  <a:srgbClr val="000000"/>
                </a:solidFill>
                <a:latin typeface="+mn-lt"/>
              </a:defRPr>
            </a:pPr>
          </a:p>
        </c:txPr>
        <c:crossAx val="487259981"/>
      </c:catAx>
      <c:valAx>
        <c:axId val="4872599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Leads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3269641"/>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Daily Spend vs. Leads Trend</a:t>
            </a:r>
          </a:p>
        </c:rich>
      </c:tx>
      <c:overlay val="0"/>
    </c:title>
    <c:plotArea>
      <c:layout/>
      <c:lineChart>
        <c:ser>
          <c:idx val="0"/>
          <c:order val="0"/>
          <c:tx>
            <c:strRef>
              <c:f>Dashboard!$J$4</c:f>
            </c:strRef>
          </c:tx>
          <c:spPr>
            <a:ln cmpd="sng">
              <a:solidFill>
                <a:srgbClr val="4285F4"/>
              </a:solidFill>
            </a:ln>
          </c:spPr>
          <c:marker>
            <c:symbol val="none"/>
          </c:marker>
          <c:cat>
            <c:strRef>
              <c:f>Dashboard!$I$5:$I$14</c:f>
            </c:strRef>
          </c:cat>
          <c:val>
            <c:numRef>
              <c:f>Dashboard!$J$5:$J$14</c:f>
              <c:numCache/>
            </c:numRef>
          </c:val>
          <c:smooth val="0"/>
        </c:ser>
        <c:ser>
          <c:idx val="1"/>
          <c:order val="1"/>
          <c:tx>
            <c:strRef>
              <c:f>Dashboard!$K$4</c:f>
            </c:strRef>
          </c:tx>
          <c:spPr>
            <a:ln cmpd="sng">
              <a:solidFill>
                <a:srgbClr val="EA4335"/>
              </a:solidFill>
            </a:ln>
          </c:spPr>
          <c:marker>
            <c:symbol val="none"/>
          </c:marker>
          <c:cat>
            <c:strRef>
              <c:f>Dashboard!$I$5:$I$14</c:f>
            </c:strRef>
          </c:cat>
          <c:val>
            <c:numRef>
              <c:f>Dashboard!$K$5:$K$14</c:f>
              <c:numCache/>
            </c:numRef>
          </c:val>
          <c:smooth val="0"/>
        </c:ser>
        <c:axId val="1086973897"/>
        <c:axId val="1045670919"/>
      </c:lineChart>
      <c:catAx>
        <c:axId val="10869738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045670919"/>
      </c:catAx>
      <c:valAx>
        <c:axId val="10456709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6973897"/>
      </c:valAx>
    </c:plotArea>
    <c:legend>
      <c:legendPos val="b"/>
      <c:overlay val="0"/>
      <c:txPr>
        <a:bodyPr/>
        <a:lstStyle/>
        <a:p>
          <a:pPr lvl="0">
            <a:defRPr b="0">
              <a:solidFill>
                <a:srgbClr val="1A1A1A"/>
              </a:solidFill>
              <a:latin typeface="+mn-lt"/>
            </a:defRPr>
          </a:pPr>
        </a:p>
      </c:txPr>
    </c:legend>
  </c:chart>
  <c:spPr>
    <a:solidFill>
      <a:srgbClr val="F0F4F9"/>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866775</xdr:colOff>
      <xdr:row>0</xdr:row>
      <xdr:rowOff>0</xdr:rowOff>
    </xdr:from>
    <xdr:ext cx="4762500" cy="28575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21" sheet="Calculations"/>
  </cacheSource>
  <cacheFields>
    <cacheField name="Date" numFmtId="164">
      <sharedItems containsSemiMixedTypes="0" containsDate="1" containsString="0">
        <d v="2025-01-01T00:00:00Z"/>
        <d v="2025-01-02T00:00:00Z"/>
        <d v="2025-01-03T00:00:00Z"/>
        <d v="2025-01-04T00:00:00Z"/>
        <d v="2025-01-05T00:00:00Z"/>
        <d v="2025-01-06T00:00:00Z"/>
        <d v="2025-01-07T00:00:00Z"/>
        <d v="2025-01-08T00:00:00Z"/>
        <d v="2025-01-09T00:00:00Z"/>
        <d v="2025-01-10T00:00:00Z"/>
      </sharedItems>
    </cacheField>
    <cacheField name="Campaign_Name" numFmtId="0">
      <sharedItems>
        <s v="Seller Home Value"/>
        <s v="Buyer Listings"/>
        <s v="Open House Promo"/>
        <s v="Seller Downsizing"/>
      </sharedItems>
    </cacheField>
    <cacheField name="Ad_Set" numFmtId="0">
      <sharedItems>
        <s v="City Targeting - Delhi"/>
        <s v="Interest - First Time Buyers"/>
        <s v="Lookalike 1%"/>
        <s v="Radius 5km"/>
        <s v="Interest - Property Investors"/>
        <s v="Age 45+"/>
        <s v="Radius 3km"/>
      </sharedItems>
    </cacheField>
    <cacheField name="City" numFmtId="0">
      <sharedItems>
        <s v="Delhi"/>
        <s v="Mumbai"/>
        <s v="Bangalore"/>
        <s v="Pune"/>
      </sharedItems>
    </cacheField>
    <cacheField name="Lead_Type" numFmtId="0">
      <sharedItems>
        <s v="Seller"/>
        <s v="Buyer"/>
      </sharedItems>
    </cacheField>
    <cacheField name="Spend" numFmtId="4">
      <sharedItems containsSemiMixedTypes="0" containsString="0" containsNumber="1" containsInteger="1">
        <n v="3200.0"/>
        <n v="2800.0"/>
        <n v="3500.0"/>
        <n v="1800.0"/>
        <n v="2600.0"/>
        <n v="3000.0"/>
        <n v="3700.0"/>
        <n v="2400.0"/>
        <n v="1600.0"/>
        <n v="3100.0"/>
        <n v="3300.0"/>
        <n v="2900.0"/>
        <n v="3600.0"/>
        <n v="1900.0"/>
        <n v="2500.0"/>
        <n v="3400.0"/>
        <n v="2300.0"/>
        <n v="1700.0"/>
      </sharedItems>
    </cacheField>
    <cacheField name="Impressions" numFmtId="4">
      <sharedItems containsSemiMixedTypes="0" containsString="0" containsNumber="1" containsInteger="1">
        <n v="42000.0"/>
        <n v="39000.0"/>
        <n v="46000.0"/>
        <n v="27000.0"/>
        <n v="36000.0"/>
        <n v="33000.0"/>
        <n v="48000.0"/>
        <n v="34000.0"/>
        <n v="22000.0"/>
        <n v="35000.0"/>
        <n v="44000.0"/>
        <n v="41000.0"/>
        <n v="47000.0"/>
        <n v="28000.0"/>
        <n v="37000.0"/>
        <n v="45000.0"/>
        <n v="24000.0"/>
      </sharedItems>
    </cacheField>
    <cacheField name="Clicks" numFmtId="4">
      <sharedItems containsSemiMixedTypes="0" containsString="0" containsNumber="1" containsInteger="1">
        <n v="520.0"/>
        <n v="610.0"/>
        <n v="580.0"/>
        <n v="390.0"/>
        <n v="540.0"/>
        <n v="410.0"/>
        <n v="600.0"/>
        <n v="510.0"/>
        <n v="300.0"/>
        <n v="430.0"/>
        <n v="550.0"/>
        <n v="620.0"/>
        <n v="590.0"/>
        <n v="560.0"/>
        <n v="440.0"/>
        <n v="570.0"/>
        <n v="480.0"/>
        <n v="320.0"/>
        <n v="420.0"/>
      </sharedItems>
    </cacheField>
    <cacheField name="Leads" numFmtId="4">
      <sharedItems containsSemiMixedTypes="0" containsString="0" containsNumber="1" containsInteger="1">
        <n v="18.0"/>
        <n v="25.0"/>
        <n v="20.0"/>
        <n v="14.0"/>
        <n v="22.0"/>
        <n v="15.0"/>
        <n v="21.0"/>
        <n v="19.0"/>
        <n v="11.0"/>
        <n v="16.0"/>
        <n v="26.0"/>
        <n v="23.0"/>
        <n v="17.0"/>
        <n v="12.0"/>
      </sharedItems>
    </cacheField>
    <cacheField name="Appointments_Booked" numFmtId="4">
      <sharedItems containsSemiMixedTypes="0" containsString="0" containsNumber="1" containsInteger="1">
        <n v="6.0"/>
        <n v="5.0"/>
        <n v="8.0"/>
        <n v="3.0"/>
        <n v="4.0"/>
        <n v="7.0"/>
        <n v="9.0"/>
        <n v="2.0"/>
      </sharedItems>
    </cacheField>
    <cacheField name="CTR (%)" numFmtId="10">
      <sharedItems containsSemiMixedTypes="0" containsString="0" containsNumber="1">
        <n v="0.012380952380952381"/>
        <n v="0.01564102564102564"/>
        <n v="0.012608695652173913"/>
        <n v="0.014444444444444444"/>
        <n v="0.015"/>
        <n v="0.012424242424242424"/>
        <n v="0.0125"/>
        <n v="0.013636363636363636"/>
        <n v="0.012285714285714285"/>
        <n v="0.015121951219512195"/>
        <n v="0.012553191489361702"/>
        <n v="0.014642857142857143"/>
        <n v="0.015135135135135135"/>
        <n v="0.012222222222222223"/>
        <n v="0.012666666666666666"/>
        <n v="0.014545454545454545"/>
        <n v="0.013333333333333334"/>
        <n v="0.012352941176470587"/>
      </sharedItems>
    </cacheField>
    <cacheField name="CPC" numFmtId="0">
      <sharedItems containsSemiMixedTypes="0" containsString="0" containsNumber="1">
        <n v="6.153846153846154"/>
        <n v="4.590163934426229"/>
        <n v="6.0344827586206895"/>
        <n v="4.615384615384615"/>
        <n v="4.814814814814815"/>
        <n v="7.317073170731708"/>
        <n v="6.166666666666667"/>
        <n v="4.705882352941177"/>
        <n v="5.333333333333333"/>
        <n v="7.209302325581396"/>
        <n v="6.0"/>
        <n v="4.67741935483871"/>
        <n v="6.101694915254237"/>
        <n v="4.634146341463414"/>
        <n v="4.464285714285714"/>
        <n v="7.2727272727272725"/>
        <n v="5.964912280701754"/>
        <n v="4.791666666666667"/>
        <n v="5.3125"/>
        <n v="7.142857142857143"/>
      </sharedItems>
    </cacheField>
    <cacheField name="CPL" numFmtId="165">
      <sharedItems containsSemiMixedTypes="0" containsString="0" containsNumber="1">
        <n v="177.77777777777777"/>
        <n v="112.0"/>
        <n v="175.0"/>
        <n v="128.57142857142858"/>
        <n v="118.18181818181819"/>
        <n v="200.0"/>
        <n v="176.1904761904762"/>
        <n v="126.3157894736842"/>
        <n v="145.45454545454547"/>
        <n v="193.75"/>
        <n v="173.68421052631578"/>
        <n v="111.53846153846153"/>
        <n v="163.63636363636363"/>
        <n v="126.66666666666667"/>
        <n v="108.69565217391305"/>
        <n v="188.23529411764707"/>
        <n v="170.0"/>
        <n v="127.77777777777777"/>
        <n v="141.66666666666666"/>
        <n v="187.5"/>
      </sharedItems>
    </cacheField>
    <cacheField name="Appointment_Rate (%)" numFmtId="10">
      <sharedItems containsSemiMixedTypes="0" containsString="0" containsNumber="1">
        <n v="0.3333333333333333"/>
        <n v="0.2"/>
        <n v="0.4"/>
        <n v="0.21428571428571427"/>
        <n v="0.18181818181818182"/>
        <n v="0.4666666666666667"/>
        <n v="0.42857142857142855"/>
        <n v="0.21052631578947367"/>
        <n v="0.4375"/>
        <n v="0.42105263157894735"/>
        <n v="0.19230769230769232"/>
        <n v="0.4090909090909091"/>
        <n v="0.17391304347826086"/>
        <n v="0.47058823529411764"/>
        <n v="0.1666666666666666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tables" cacheId="0" dataCaption="" compact="0" compactData="0">
  <location ref="A3:F8" firstHeaderRow="0" firstDataRow="2" firstDataCol="0"/>
  <pivotFields>
    <pivotField name="Date" compact="0" numFmtId="164" outline="0" multipleItemSelectionAllowed="1" showAll="0">
      <items>
        <item x="0"/>
        <item x="1"/>
        <item x="2"/>
        <item x="3"/>
        <item x="4"/>
        <item x="5"/>
        <item x="6"/>
        <item x="7"/>
        <item x="8"/>
        <item x="9"/>
        <item t="default"/>
      </items>
    </pivotField>
    <pivotField name="Campaign_Name" axis="axisRow" compact="0" outline="0" multipleItemSelectionAllowed="1" showAll="0" sortType="ascending">
      <items>
        <item x="1"/>
        <item x="2"/>
        <item x="3"/>
        <item x="0"/>
        <item t="default"/>
      </items>
    </pivotField>
    <pivotField name="Ad_Set" compact="0" outline="0" multipleItemSelectionAllowed="1" showAll="0">
      <items>
        <item x="0"/>
        <item x="1"/>
        <item x="2"/>
        <item x="3"/>
        <item x="4"/>
        <item x="5"/>
        <item x="6"/>
        <item t="default"/>
      </items>
    </pivotField>
    <pivotField name="City" compact="0" outline="0" multipleItemSelectionAllowed="1" showAll="0">
      <items>
        <item x="0"/>
        <item x="1"/>
        <item x="2"/>
        <item x="3"/>
        <item t="default"/>
      </items>
    </pivotField>
    <pivotField name="Lead_Type" compact="0" outline="0" multipleItemSelectionAllowed="1" showAll="0">
      <items>
        <item x="0"/>
        <item x="1"/>
        <item t="default"/>
      </items>
    </pivotField>
    <pivotField name="Spend" dataField="1" compact="0" numFmtId="4" outline="0" multipleItemSelectionAllowed="1" showAll="0">
      <items>
        <item x="0"/>
        <item x="1"/>
        <item x="2"/>
        <item x="3"/>
        <item x="4"/>
        <item x="5"/>
        <item x="6"/>
        <item x="7"/>
        <item x="8"/>
        <item x="9"/>
        <item x="10"/>
        <item x="11"/>
        <item x="12"/>
        <item x="13"/>
        <item x="14"/>
        <item x="15"/>
        <item x="16"/>
        <item x="17"/>
        <item t="default"/>
      </items>
    </pivotField>
    <pivotField name="Impressions" compact="0" numFmtId="4" outline="0" multipleItemSelectionAllowed="1" showAll="0">
      <items>
        <item x="0"/>
        <item x="1"/>
        <item x="2"/>
        <item x="3"/>
        <item x="4"/>
        <item x="5"/>
        <item x="6"/>
        <item x="7"/>
        <item x="8"/>
        <item x="9"/>
        <item x="10"/>
        <item x="11"/>
        <item x="12"/>
        <item x="13"/>
        <item x="14"/>
        <item x="15"/>
        <item x="16"/>
        <item t="default"/>
      </items>
    </pivotField>
    <pivotField name="Clicks" compact="0" numFmtId="4" outline="0" multipleItemSelectionAllowed="1" showAll="0">
      <items>
        <item x="0"/>
        <item x="1"/>
        <item x="2"/>
        <item x="3"/>
        <item x="4"/>
        <item x="5"/>
        <item x="6"/>
        <item x="7"/>
        <item x="8"/>
        <item x="9"/>
        <item x="10"/>
        <item x="11"/>
        <item x="12"/>
        <item x="13"/>
        <item x="14"/>
        <item x="15"/>
        <item x="16"/>
        <item x="17"/>
        <item x="18"/>
        <item t="default"/>
      </items>
    </pivotField>
    <pivotField name="Leads" dataField="1" compact="0" numFmtId="4" outline="0" multipleItemSelectionAllowed="1" showAll="0">
      <items>
        <item x="0"/>
        <item x="1"/>
        <item x="2"/>
        <item x="3"/>
        <item x="4"/>
        <item x="5"/>
        <item x="6"/>
        <item x="7"/>
        <item x="8"/>
        <item x="9"/>
        <item x="10"/>
        <item x="11"/>
        <item x="12"/>
        <item x="13"/>
        <item t="default"/>
      </items>
    </pivotField>
    <pivotField name="Appointments_Booked" dataField="1" compact="0" numFmtId="4" outline="0" multipleItemSelectionAllowed="1" showAll="0">
      <items>
        <item x="0"/>
        <item x="1"/>
        <item x="2"/>
        <item x="3"/>
        <item x="4"/>
        <item x="5"/>
        <item x="6"/>
        <item x="7"/>
        <item t="default"/>
      </items>
    </pivotField>
    <pivotField name="CTR (%)" compact="0" numFmtId="10" outline="0" multipleItemSelectionAllowed="1" showAll="0">
      <items>
        <item x="0"/>
        <item x="1"/>
        <item x="2"/>
        <item x="3"/>
        <item x="4"/>
        <item x="5"/>
        <item x="6"/>
        <item x="7"/>
        <item x="8"/>
        <item x="9"/>
        <item x="10"/>
        <item x="11"/>
        <item x="12"/>
        <item x="13"/>
        <item x="14"/>
        <item x="15"/>
        <item x="16"/>
        <item x="17"/>
        <item t="default"/>
      </items>
    </pivotField>
    <pivotField name="CPC"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PL" dataField="1" compact="0" numFmtId="165" outline="0" multipleItemSelectionAllowed="1" showAll="0">
      <items>
        <item x="0"/>
        <item x="1"/>
        <item x="2"/>
        <item x="3"/>
        <item x="4"/>
        <item x="5"/>
        <item x="6"/>
        <item x="7"/>
        <item x="8"/>
        <item x="9"/>
        <item x="10"/>
        <item x="11"/>
        <item x="12"/>
        <item x="13"/>
        <item x="14"/>
        <item x="15"/>
        <item x="16"/>
        <item x="17"/>
        <item x="18"/>
        <item x="19"/>
        <item t="default"/>
      </items>
    </pivotField>
    <pivotField name="Appointment_Rate (%)" compact="0" numFmtId="10" outline="0" multipleItemSelectionAllowed="1" showAll="0">
      <items>
        <item x="0"/>
        <item x="1"/>
        <item x="2"/>
        <item x="3"/>
        <item x="4"/>
        <item x="5"/>
        <item x="6"/>
        <item x="7"/>
        <item x="8"/>
        <item x="9"/>
        <item x="10"/>
        <item x="11"/>
        <item x="12"/>
        <item x="13"/>
        <item x="14"/>
        <item t="default"/>
      </items>
    </pivotField>
  </pivotFields>
  <rowFields>
    <field x="1"/>
  </rowFields>
  <colFields>
    <field x="-2"/>
  </colFields>
  <dataFields>
    <dataField name="SUM of Spend" fld="5" baseField="0"/>
    <dataField name="SUM of Leads" fld="8" baseField="0"/>
    <dataField name="SUM of Appointments_Booked" fld="9" baseField="0"/>
    <dataField name="AVERAGE of CPC" fld="11" subtotal="average" baseField="0"/>
    <dataField name="AVERAGE of CPL" fld="12" subtotal="average" baseField="0"/>
  </dataFields>
</pivotTableDefinition>
</file>

<file path=xl/pivotTables/pivotTable2.xml><?xml version="1.0" encoding="utf-8"?>
<pivotTableDefinition xmlns="http://schemas.openxmlformats.org/spreadsheetml/2006/main" name="Pivot_tables 2" cacheId="0" dataCaption="" compact="0" compactData="0">
  <location ref="A11:E14" firstHeaderRow="0" firstDataRow="2" firstDataCol="0"/>
  <pivotFields>
    <pivotField name="Date" compact="0" numFmtId="164" outline="0" multipleItemSelectionAllowed="1" showAll="0">
      <items>
        <item x="0"/>
        <item x="1"/>
        <item x="2"/>
        <item x="3"/>
        <item x="4"/>
        <item x="5"/>
        <item x="6"/>
        <item x="7"/>
        <item x="8"/>
        <item x="9"/>
        <item t="default"/>
      </items>
    </pivotField>
    <pivotField name="Campaign_Name" compact="0" outline="0" multipleItemSelectionAllowed="1" showAll="0">
      <items>
        <item x="0"/>
        <item x="1"/>
        <item x="2"/>
        <item x="3"/>
        <item t="default"/>
      </items>
    </pivotField>
    <pivotField name="Ad_Set" compact="0" outline="0" multipleItemSelectionAllowed="1" showAll="0">
      <items>
        <item x="0"/>
        <item x="1"/>
        <item x="2"/>
        <item x="3"/>
        <item x="4"/>
        <item x="5"/>
        <item x="6"/>
        <item t="default"/>
      </items>
    </pivotField>
    <pivotField name="City" compact="0" outline="0" multipleItemSelectionAllowed="1" showAll="0">
      <items>
        <item x="0"/>
        <item x="1"/>
        <item x="2"/>
        <item x="3"/>
        <item t="default"/>
      </items>
    </pivotField>
    <pivotField name="Lead_Type" axis="axisRow" compact="0" outline="0" multipleItemSelectionAllowed="1" showAll="0" sortType="ascending">
      <items>
        <item x="1"/>
        <item x="0"/>
        <item t="default"/>
      </items>
    </pivotField>
    <pivotField name="Spend" dataField="1" compact="0" numFmtId="4" outline="0" multipleItemSelectionAllowed="1" showAll="0">
      <items>
        <item x="0"/>
        <item x="1"/>
        <item x="2"/>
        <item x="3"/>
        <item x="4"/>
        <item x="5"/>
        <item x="6"/>
        <item x="7"/>
        <item x="8"/>
        <item x="9"/>
        <item x="10"/>
        <item x="11"/>
        <item x="12"/>
        <item x="13"/>
        <item x="14"/>
        <item x="15"/>
        <item x="16"/>
        <item x="17"/>
        <item t="default"/>
      </items>
    </pivotField>
    <pivotField name="Impressions" compact="0" numFmtId="4" outline="0" multipleItemSelectionAllowed="1" showAll="0">
      <items>
        <item x="0"/>
        <item x="1"/>
        <item x="2"/>
        <item x="3"/>
        <item x="4"/>
        <item x="5"/>
        <item x="6"/>
        <item x="7"/>
        <item x="8"/>
        <item x="9"/>
        <item x="10"/>
        <item x="11"/>
        <item x="12"/>
        <item x="13"/>
        <item x="14"/>
        <item x="15"/>
        <item x="16"/>
        <item t="default"/>
      </items>
    </pivotField>
    <pivotField name="Clicks" compact="0" numFmtId="4" outline="0" multipleItemSelectionAllowed="1" showAll="0">
      <items>
        <item x="0"/>
        <item x="1"/>
        <item x="2"/>
        <item x="3"/>
        <item x="4"/>
        <item x="5"/>
        <item x="6"/>
        <item x="7"/>
        <item x="8"/>
        <item x="9"/>
        <item x="10"/>
        <item x="11"/>
        <item x="12"/>
        <item x="13"/>
        <item x="14"/>
        <item x="15"/>
        <item x="16"/>
        <item x="17"/>
        <item x="18"/>
        <item t="default"/>
      </items>
    </pivotField>
    <pivotField name="Leads" dataField="1" compact="0" numFmtId="4" outline="0" multipleItemSelectionAllowed="1" showAll="0">
      <items>
        <item x="0"/>
        <item x="1"/>
        <item x="2"/>
        <item x="3"/>
        <item x="4"/>
        <item x="5"/>
        <item x="6"/>
        <item x="7"/>
        <item x="8"/>
        <item x="9"/>
        <item x="10"/>
        <item x="11"/>
        <item x="12"/>
        <item x="13"/>
        <item t="default"/>
      </items>
    </pivotField>
    <pivotField name="Appointments_Booked" dataField="1" compact="0" numFmtId="4" outline="0" multipleItemSelectionAllowed="1" showAll="0">
      <items>
        <item x="0"/>
        <item x="1"/>
        <item x="2"/>
        <item x="3"/>
        <item x="4"/>
        <item x="5"/>
        <item x="6"/>
        <item x="7"/>
        <item t="default"/>
      </items>
    </pivotField>
    <pivotField name="CTR (%)" compact="0" numFmtId="10" outline="0" multipleItemSelectionAllowed="1" showAll="0">
      <items>
        <item x="0"/>
        <item x="1"/>
        <item x="2"/>
        <item x="3"/>
        <item x="4"/>
        <item x="5"/>
        <item x="6"/>
        <item x="7"/>
        <item x="8"/>
        <item x="9"/>
        <item x="10"/>
        <item x="11"/>
        <item x="12"/>
        <item x="13"/>
        <item x="14"/>
        <item x="15"/>
        <item x="16"/>
        <item x="17"/>
        <item t="default"/>
      </items>
    </pivotField>
    <pivotField name="CPC"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PL" dataField="1" compact="0" numFmtId="165" outline="0" multipleItemSelectionAllowed="1" showAll="0">
      <items>
        <item x="0"/>
        <item x="1"/>
        <item x="2"/>
        <item x="3"/>
        <item x="4"/>
        <item x="5"/>
        <item x="6"/>
        <item x="7"/>
        <item x="8"/>
        <item x="9"/>
        <item x="10"/>
        <item x="11"/>
        <item x="12"/>
        <item x="13"/>
        <item x="14"/>
        <item x="15"/>
        <item x="16"/>
        <item x="17"/>
        <item x="18"/>
        <item x="19"/>
        <item t="default"/>
      </items>
    </pivotField>
    <pivotField name="Appointment_Rate (%)" compact="0" numFmtId="10" outline="0" multipleItemSelectionAllowed="1" showAll="0">
      <items>
        <item x="0"/>
        <item x="1"/>
        <item x="2"/>
        <item x="3"/>
        <item x="4"/>
        <item x="5"/>
        <item x="6"/>
        <item x="7"/>
        <item x="8"/>
        <item x="9"/>
        <item x="10"/>
        <item x="11"/>
        <item x="12"/>
        <item x="13"/>
        <item x="14"/>
        <item t="default"/>
      </items>
    </pivotField>
  </pivotFields>
  <rowFields>
    <field x="4"/>
  </rowFields>
  <colFields>
    <field x="-2"/>
  </colFields>
  <dataFields>
    <dataField name="SUM of Spend" fld="5" baseField="0"/>
    <dataField name="SUM of Leads" fld="8" baseField="0"/>
    <dataField name="AVERAGE of Appointments_Booked" fld="9" subtotal="average" baseField="0"/>
    <dataField name="AVERAGE of CPL" fld="12" subtotal="average" baseField="0"/>
  </dataFields>
</pivotTableDefinition>
</file>

<file path=xl/pivotTables/pivotTable3.xml><?xml version="1.0" encoding="utf-8"?>
<pivotTableDefinition xmlns="http://schemas.openxmlformats.org/spreadsheetml/2006/main" name="Pivot_tables 3" cacheId="0" dataCaption="" compact="0" compactData="0">
  <location ref="A17:E22" firstHeaderRow="0" firstDataRow="2" firstDataCol="0"/>
  <pivotFields>
    <pivotField name="Date" compact="0" numFmtId="164" outline="0" multipleItemSelectionAllowed="1" showAll="0">
      <items>
        <item x="0"/>
        <item x="1"/>
        <item x="2"/>
        <item x="3"/>
        <item x="4"/>
        <item x="5"/>
        <item x="6"/>
        <item x="7"/>
        <item x="8"/>
        <item x="9"/>
        <item t="default"/>
      </items>
    </pivotField>
    <pivotField name="Campaign_Name" compact="0" outline="0" multipleItemSelectionAllowed="1" showAll="0">
      <items>
        <item x="0"/>
        <item x="1"/>
        <item x="2"/>
        <item x="3"/>
        <item t="default"/>
      </items>
    </pivotField>
    <pivotField name="Ad_Set" compact="0" outline="0" multipleItemSelectionAllowed="1" showAll="0">
      <items>
        <item x="0"/>
        <item x="1"/>
        <item x="2"/>
        <item x="3"/>
        <item x="4"/>
        <item x="5"/>
        <item x="6"/>
        <item t="default"/>
      </items>
    </pivotField>
    <pivotField name="City" axis="axisRow" compact="0" outline="0" multipleItemSelectionAllowed="1" showAll="0" sortType="ascending">
      <items>
        <item x="2"/>
        <item x="0"/>
        <item x="1"/>
        <item x="3"/>
        <item t="default"/>
      </items>
    </pivotField>
    <pivotField name="Lead_Type" compact="0" outline="0" multipleItemSelectionAllowed="1" showAll="0">
      <items>
        <item x="0"/>
        <item x="1"/>
        <item t="default"/>
      </items>
    </pivotField>
    <pivotField name="Spend" dataField="1" compact="0" numFmtId="4" outline="0" multipleItemSelectionAllowed="1" showAll="0">
      <items>
        <item x="0"/>
        <item x="1"/>
        <item x="2"/>
        <item x="3"/>
        <item x="4"/>
        <item x="5"/>
        <item x="6"/>
        <item x="7"/>
        <item x="8"/>
        <item x="9"/>
        <item x="10"/>
        <item x="11"/>
        <item x="12"/>
        <item x="13"/>
        <item x="14"/>
        <item x="15"/>
        <item x="16"/>
        <item x="17"/>
        <item t="default"/>
      </items>
    </pivotField>
    <pivotField name="Impressions" compact="0" numFmtId="4" outline="0" multipleItemSelectionAllowed="1" showAll="0">
      <items>
        <item x="0"/>
        <item x="1"/>
        <item x="2"/>
        <item x="3"/>
        <item x="4"/>
        <item x="5"/>
        <item x="6"/>
        <item x="7"/>
        <item x="8"/>
        <item x="9"/>
        <item x="10"/>
        <item x="11"/>
        <item x="12"/>
        <item x="13"/>
        <item x="14"/>
        <item x="15"/>
        <item x="16"/>
        <item t="default"/>
      </items>
    </pivotField>
    <pivotField name="Clicks" compact="0" numFmtId="4" outline="0" multipleItemSelectionAllowed="1" showAll="0">
      <items>
        <item x="0"/>
        <item x="1"/>
        <item x="2"/>
        <item x="3"/>
        <item x="4"/>
        <item x="5"/>
        <item x="6"/>
        <item x="7"/>
        <item x="8"/>
        <item x="9"/>
        <item x="10"/>
        <item x="11"/>
        <item x="12"/>
        <item x="13"/>
        <item x="14"/>
        <item x="15"/>
        <item x="16"/>
        <item x="17"/>
        <item x="18"/>
        <item t="default"/>
      </items>
    </pivotField>
    <pivotField name="Leads" dataField="1" compact="0" numFmtId="4" outline="0" multipleItemSelectionAllowed="1" showAll="0">
      <items>
        <item x="0"/>
        <item x="1"/>
        <item x="2"/>
        <item x="3"/>
        <item x="4"/>
        <item x="5"/>
        <item x="6"/>
        <item x="7"/>
        <item x="8"/>
        <item x="9"/>
        <item x="10"/>
        <item x="11"/>
        <item x="12"/>
        <item x="13"/>
        <item t="default"/>
      </items>
    </pivotField>
    <pivotField name="Appointments_Booked" dataField="1" compact="0" numFmtId="4" outline="0" multipleItemSelectionAllowed="1" showAll="0">
      <items>
        <item x="0"/>
        <item x="1"/>
        <item x="2"/>
        <item x="3"/>
        <item x="4"/>
        <item x="5"/>
        <item x="6"/>
        <item x="7"/>
        <item t="default"/>
      </items>
    </pivotField>
    <pivotField name="CTR (%)" compact="0" numFmtId="10" outline="0" multipleItemSelectionAllowed="1" showAll="0">
      <items>
        <item x="0"/>
        <item x="1"/>
        <item x="2"/>
        <item x="3"/>
        <item x="4"/>
        <item x="5"/>
        <item x="6"/>
        <item x="7"/>
        <item x="8"/>
        <item x="9"/>
        <item x="10"/>
        <item x="11"/>
        <item x="12"/>
        <item x="13"/>
        <item x="14"/>
        <item x="15"/>
        <item x="16"/>
        <item x="17"/>
        <item t="default"/>
      </items>
    </pivotField>
    <pivotField name="CPC"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PL" dataField="1" compact="0" numFmtId="165" outline="0" multipleItemSelectionAllowed="1" showAll="0">
      <items>
        <item x="0"/>
        <item x="1"/>
        <item x="2"/>
        <item x="3"/>
        <item x="4"/>
        <item x="5"/>
        <item x="6"/>
        <item x="7"/>
        <item x="8"/>
        <item x="9"/>
        <item x="10"/>
        <item x="11"/>
        <item x="12"/>
        <item x="13"/>
        <item x="14"/>
        <item x="15"/>
        <item x="16"/>
        <item x="17"/>
        <item x="18"/>
        <item x="19"/>
        <item t="default"/>
      </items>
    </pivotField>
    <pivotField name="Appointment_Rate (%)" compact="0" numFmtId="10" outline="0" multipleItemSelectionAllowed="1" showAll="0">
      <items>
        <item x="0"/>
        <item x="1"/>
        <item x="2"/>
        <item x="3"/>
        <item x="4"/>
        <item x="5"/>
        <item x="6"/>
        <item x="7"/>
        <item x="8"/>
        <item x="9"/>
        <item x="10"/>
        <item x="11"/>
        <item x="12"/>
        <item x="13"/>
        <item x="14"/>
        <item t="default"/>
      </items>
    </pivotField>
  </pivotFields>
  <rowFields>
    <field x="3"/>
  </rowFields>
  <colFields>
    <field x="-2"/>
  </colFields>
  <dataFields>
    <dataField name="SUM of Spend" fld="5" baseField="0"/>
    <dataField name="SUM of Leads" fld="8" baseField="0"/>
    <dataField name="SUM of Appointments_Booked" fld="9" baseField="0"/>
    <dataField name="AVERAGE of CPL" fld="12" subtotal="average" baseField="0"/>
  </dataFields>
</pivotTableDefinition>
</file>

<file path=xl/pivotTables/pivotTable4.xml><?xml version="1.0" encoding="utf-8"?>
<pivotTableDefinition xmlns="http://schemas.openxmlformats.org/spreadsheetml/2006/main" name="Pivot_tables 4" cacheId="0" dataCaption="" compact="0" compactData="0">
  <location ref="A25:C36" firstHeaderRow="0" firstDataRow="2" firstDataCol="0"/>
  <pivotFields>
    <pivotField name="Date" axis="axisRow" compact="0" numFmtId="164" outline="0" multipleItemSelectionAllowed="1" showAll="0" sortType="ascending">
      <items>
        <item x="0"/>
        <item x="1"/>
        <item x="2"/>
        <item x="3"/>
        <item x="4"/>
        <item x="5"/>
        <item x="6"/>
        <item x="7"/>
        <item x="8"/>
        <item x="9"/>
        <item t="default"/>
      </items>
    </pivotField>
    <pivotField name="Campaign_Name" compact="0" outline="0" multipleItemSelectionAllowed="1" showAll="0">
      <items>
        <item x="0"/>
        <item x="1"/>
        <item x="2"/>
        <item x="3"/>
        <item t="default"/>
      </items>
    </pivotField>
    <pivotField name="Ad_Set" compact="0" outline="0" multipleItemSelectionAllowed="1" showAll="0">
      <items>
        <item x="0"/>
        <item x="1"/>
        <item x="2"/>
        <item x="3"/>
        <item x="4"/>
        <item x="5"/>
        <item x="6"/>
        <item t="default"/>
      </items>
    </pivotField>
    <pivotField name="City" compact="0" outline="0" multipleItemSelectionAllowed="1" showAll="0">
      <items>
        <item x="0"/>
        <item x="1"/>
        <item x="2"/>
        <item x="3"/>
        <item t="default"/>
      </items>
    </pivotField>
    <pivotField name="Lead_Type" compact="0" outline="0" multipleItemSelectionAllowed="1" showAll="0">
      <items>
        <item x="0"/>
        <item x="1"/>
        <item t="default"/>
      </items>
    </pivotField>
    <pivotField name="Spend" compact="0" numFmtId="4" outline="0" multipleItemSelectionAllowed="1" showAll="0">
      <items>
        <item x="0"/>
        <item x="1"/>
        <item x="2"/>
        <item x="3"/>
        <item x="4"/>
        <item x="5"/>
        <item x="6"/>
        <item x="7"/>
        <item x="8"/>
        <item x="9"/>
        <item x="10"/>
        <item x="11"/>
        <item x="12"/>
        <item x="13"/>
        <item x="14"/>
        <item x="15"/>
        <item x="16"/>
        <item x="17"/>
        <item t="default"/>
      </items>
    </pivotField>
    <pivotField name="Impressions" compact="0" numFmtId="4" outline="0" multipleItemSelectionAllowed="1" showAll="0">
      <items>
        <item x="0"/>
        <item x="1"/>
        <item x="2"/>
        <item x="3"/>
        <item x="4"/>
        <item x="5"/>
        <item x="6"/>
        <item x="7"/>
        <item x="8"/>
        <item x="9"/>
        <item x="10"/>
        <item x="11"/>
        <item x="12"/>
        <item x="13"/>
        <item x="14"/>
        <item x="15"/>
        <item x="16"/>
        <item t="default"/>
      </items>
    </pivotField>
    <pivotField name="Clicks" compact="0" numFmtId="4" outline="0" multipleItemSelectionAllowed="1" showAll="0">
      <items>
        <item x="0"/>
        <item x="1"/>
        <item x="2"/>
        <item x="3"/>
        <item x="4"/>
        <item x="5"/>
        <item x="6"/>
        <item x="7"/>
        <item x="8"/>
        <item x="9"/>
        <item x="10"/>
        <item x="11"/>
        <item x="12"/>
        <item x="13"/>
        <item x="14"/>
        <item x="15"/>
        <item x="16"/>
        <item x="17"/>
        <item x="18"/>
        <item t="default"/>
      </items>
    </pivotField>
    <pivotField name="Leads" dataField="1" compact="0" numFmtId="4" outline="0" multipleItemSelectionAllowed="1" showAll="0">
      <items>
        <item x="0"/>
        <item x="1"/>
        <item x="2"/>
        <item x="3"/>
        <item x="4"/>
        <item x="5"/>
        <item x="6"/>
        <item x="7"/>
        <item x="8"/>
        <item x="9"/>
        <item x="10"/>
        <item x="11"/>
        <item x="12"/>
        <item x="13"/>
        <item t="default"/>
      </items>
    </pivotField>
    <pivotField name="Appointments_Booked" dataField="1" compact="0" numFmtId="4" outline="0" multipleItemSelectionAllowed="1" showAll="0">
      <items>
        <item x="0"/>
        <item x="1"/>
        <item x="2"/>
        <item x="3"/>
        <item x="4"/>
        <item x="5"/>
        <item x="6"/>
        <item x="7"/>
        <item t="default"/>
      </items>
    </pivotField>
    <pivotField name="CTR (%)" compact="0" numFmtId="10" outline="0" multipleItemSelectionAllowed="1" showAll="0">
      <items>
        <item x="0"/>
        <item x="1"/>
        <item x="2"/>
        <item x="3"/>
        <item x="4"/>
        <item x="5"/>
        <item x="6"/>
        <item x="7"/>
        <item x="8"/>
        <item x="9"/>
        <item x="10"/>
        <item x="11"/>
        <item x="12"/>
        <item x="13"/>
        <item x="14"/>
        <item x="15"/>
        <item x="16"/>
        <item x="17"/>
        <item t="default"/>
      </items>
    </pivotField>
    <pivotField name="CPC"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CPL" compact="0" numFmtId="165" outline="0" multipleItemSelectionAllowed="1" showAll="0">
      <items>
        <item x="0"/>
        <item x="1"/>
        <item x="2"/>
        <item x="3"/>
        <item x="4"/>
        <item x="5"/>
        <item x="6"/>
        <item x="7"/>
        <item x="8"/>
        <item x="9"/>
        <item x="10"/>
        <item x="11"/>
        <item x="12"/>
        <item x="13"/>
        <item x="14"/>
        <item x="15"/>
        <item x="16"/>
        <item x="17"/>
        <item x="18"/>
        <item x="19"/>
        <item t="default"/>
      </items>
    </pivotField>
    <pivotField name="Appointment_Rate (%)" compact="0" numFmtId="10" outline="0" multipleItemSelectionAllowed="1" showAll="0">
      <items>
        <item x="0"/>
        <item x="1"/>
        <item x="2"/>
        <item x="3"/>
        <item x="4"/>
        <item x="5"/>
        <item x="6"/>
        <item x="7"/>
        <item x="8"/>
        <item x="9"/>
        <item x="10"/>
        <item x="11"/>
        <item x="12"/>
        <item x="13"/>
        <item x="14"/>
        <item t="default"/>
      </items>
    </pivotField>
  </pivotFields>
  <rowFields>
    <field x="0"/>
  </rowFields>
  <colFields>
    <field x="-2"/>
  </colFields>
  <dataFields>
    <dataField name="SUM of Leads" fld="8" baseField="0"/>
    <dataField name="SUM of Appointments_Booked" fld="9" baseField="0"/>
  </dataFields>
</pivotTableDefinition>
</file>

<file path=xl/tables/table1.xml><?xml version="1.0" encoding="utf-8"?>
<table xmlns="http://schemas.openxmlformats.org/spreadsheetml/2006/main" ref="A1:J21" displayName="Campaign_Performance_Metrics" name="Campaign_Performance_Metrics" id="1">
  <tableColumns count="10">
    <tableColumn name="Date" id="1"/>
    <tableColumn name="Campaign_Name" id="2"/>
    <tableColumn name="Ad_Set" id="3"/>
    <tableColumn name="City" id="4"/>
    <tableColumn name="Lead_Type" id="5"/>
    <tableColumn name="Spend" id="6"/>
    <tableColumn name="Impressions" id="7"/>
    <tableColumn name="Clicks" id="8"/>
    <tableColumn name="Leads" id="9"/>
    <tableColumn name="Appointments_Booked" id="10"/>
  </tableColumns>
  <tableStyleInfo name="Data_Cleaned-style" showColumnStripes="0" showFirstColumn="1" showLastColumn="1" showRowStripes="1"/>
</table>
</file>

<file path=xl/tables/table2.xml><?xml version="1.0" encoding="utf-8"?>
<table xmlns="http://schemas.openxmlformats.org/spreadsheetml/2006/main" ref="A1:N21" displayName="Campaign_Performance_Metrics_2" name="Campaign_Performance_Metrics_2" id="2">
  <tableColumns count="14">
    <tableColumn name="Date" id="1"/>
    <tableColumn name="Campaign_Name" id="2"/>
    <tableColumn name="Ad_Set" id="3"/>
    <tableColumn name="City" id="4"/>
    <tableColumn name="Lead_Type" id="5"/>
    <tableColumn name="Spend" id="6"/>
    <tableColumn name="Impressions" id="7"/>
    <tableColumn name="Clicks" id="8"/>
    <tableColumn name="Leads" id="9"/>
    <tableColumn name="Appointments_Booked" id="10"/>
    <tableColumn name="CTR (%)" id="11"/>
    <tableColumn name="CPC" id="12"/>
    <tableColumn name="CPL" id="13"/>
    <tableColumn name="Appointment_Rate (%)" id="14"/>
  </tableColumns>
  <tableStyleInfo name="Calculations-style" showColumnStripes="0" showFirstColumn="1" showLastColumn="1" showRowStripes="1"/>
</table>
</file>

<file path=xl/tables/table3.xml><?xml version="1.0" encoding="utf-8"?>
<table xmlns="http://schemas.openxmlformats.org/spreadsheetml/2006/main" ref="A3:B7" displayName="Total_Leads_and_Average_CPL_by_City" name="Total_Leads_and_Average_CPL_by_City" id="3">
  <tableColumns count="2">
    <tableColumn name="City" id="1"/>
    <tableColumn name="Total_Leads" id="2"/>
  </tableColumns>
  <tableStyleInfo name="Dashboard-style" showColumnStripes="0" showFirstColumn="1" showLastColumn="1" showRowStripes="1"/>
</table>
</file>

<file path=xl/tables/table4.xml><?xml version="1.0" encoding="utf-8"?>
<table xmlns="http://schemas.openxmlformats.org/spreadsheetml/2006/main" ref="I4:K14" displayName="Daily_Spend_vs._Leads_Trend" name="Daily_Spend_vs._Leads_Trend" id="4">
  <tableColumns count="3">
    <tableColumn name="Date" id="1"/>
    <tableColumn name="Total_Spend" id="2"/>
    <tableColumn name="Total_Leads" id="3"/>
  </tableColumns>
  <tableStyleInfo name="Dashboard-style 2" showColumnStripes="0" showFirstColumn="1" showLastColumn="1" showRowStripes="1"/>
</table>
</file>

<file path=xl/tables/table5.xml><?xml version="1.0" encoding="utf-8"?>
<table xmlns="http://schemas.openxmlformats.org/spreadsheetml/2006/main" ref="A5:B10" displayName="Summary_of_Key_Metrics" name="Summary_of_Key_Metrics" id="5">
  <tableColumns count="2">
    <tableColumn name="Metric" id="1"/>
    <tableColumn name="Value" id="2"/>
  </tableColumns>
  <tableStyleInfo name="Insigh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3.xml"/><Relationship Id="rId5"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5"/>
    <col customWidth="1" min="3" max="3" width="22.75"/>
    <col customWidth="1" min="4" max="4" width="13.38"/>
    <col customWidth="1" min="5" max="5" width="16.63"/>
    <col customWidth="1" min="6" max="6" width="13.38"/>
    <col customWidth="1" min="7" max="7" width="17.88"/>
    <col customWidth="1" min="8" max="9" width="13.25"/>
    <col customWidth="1" min="10" max="10" width="25.5"/>
  </cols>
  <sheetData>
    <row r="1" ht="22.5" customHeight="1">
      <c r="A1" s="2" t="s">
        <v>21</v>
      </c>
      <c r="B1" s="2" t="s">
        <v>22</v>
      </c>
      <c r="C1" s="2" t="s">
        <v>23</v>
      </c>
      <c r="D1" s="2" t="s">
        <v>24</v>
      </c>
      <c r="E1" s="2" t="s">
        <v>25</v>
      </c>
      <c r="F1" s="2" t="s">
        <v>26</v>
      </c>
      <c r="G1" s="2" t="s">
        <v>27</v>
      </c>
      <c r="H1" s="2" t="s">
        <v>28</v>
      </c>
      <c r="I1" s="2" t="s">
        <v>29</v>
      </c>
      <c r="J1" s="2" t="s">
        <v>30</v>
      </c>
    </row>
    <row r="2" ht="22.5" customHeight="1">
      <c r="A2" s="3">
        <v>45658.0</v>
      </c>
      <c r="B2" s="4" t="s">
        <v>31</v>
      </c>
      <c r="C2" s="5" t="s">
        <v>32</v>
      </c>
      <c r="D2" s="4" t="s">
        <v>33</v>
      </c>
      <c r="E2" s="4" t="s">
        <v>34</v>
      </c>
      <c r="F2" s="6">
        <v>3200.0</v>
      </c>
      <c r="G2" s="6">
        <v>42000.0</v>
      </c>
      <c r="H2" s="6">
        <v>520.0</v>
      </c>
      <c r="I2" s="6">
        <v>18.0</v>
      </c>
      <c r="J2" s="6">
        <v>6.0</v>
      </c>
    </row>
    <row r="3" ht="22.5" customHeight="1">
      <c r="A3" s="3">
        <v>45658.0</v>
      </c>
      <c r="B3" s="4" t="s">
        <v>35</v>
      </c>
      <c r="C3" s="5" t="s">
        <v>36</v>
      </c>
      <c r="D3" s="4" t="s">
        <v>37</v>
      </c>
      <c r="E3" s="4" t="s">
        <v>38</v>
      </c>
      <c r="F3" s="6">
        <v>2800.0</v>
      </c>
      <c r="G3" s="6">
        <v>39000.0</v>
      </c>
      <c r="H3" s="6">
        <v>610.0</v>
      </c>
      <c r="I3" s="6">
        <v>25.0</v>
      </c>
      <c r="J3" s="6">
        <v>5.0</v>
      </c>
    </row>
    <row r="4" ht="22.5" customHeight="1">
      <c r="A4" s="3">
        <v>45659.0</v>
      </c>
      <c r="B4" s="4" t="s">
        <v>31</v>
      </c>
      <c r="C4" s="5" t="s">
        <v>39</v>
      </c>
      <c r="D4" s="4" t="s">
        <v>33</v>
      </c>
      <c r="E4" s="4" t="s">
        <v>34</v>
      </c>
      <c r="F4" s="6">
        <v>3500.0</v>
      </c>
      <c r="G4" s="6">
        <v>46000.0</v>
      </c>
      <c r="H4" s="6">
        <v>580.0</v>
      </c>
      <c r="I4" s="6">
        <v>20.0</v>
      </c>
      <c r="J4" s="6">
        <v>8.0</v>
      </c>
    </row>
    <row r="5" ht="22.5" customHeight="1">
      <c r="A5" s="3">
        <v>45659.0</v>
      </c>
      <c r="B5" s="4" t="s">
        <v>40</v>
      </c>
      <c r="C5" s="5" t="s">
        <v>41</v>
      </c>
      <c r="D5" s="4" t="s">
        <v>42</v>
      </c>
      <c r="E5" s="4" t="s">
        <v>38</v>
      </c>
      <c r="F5" s="6">
        <v>1800.0</v>
      </c>
      <c r="G5" s="6">
        <v>27000.0</v>
      </c>
      <c r="H5" s="6">
        <v>390.0</v>
      </c>
      <c r="I5" s="6">
        <v>14.0</v>
      </c>
      <c r="J5" s="6">
        <v>3.0</v>
      </c>
    </row>
    <row r="6" ht="22.5" customHeight="1">
      <c r="A6" s="3">
        <v>45660.0</v>
      </c>
      <c r="B6" s="4" t="s">
        <v>35</v>
      </c>
      <c r="C6" s="5" t="s">
        <v>43</v>
      </c>
      <c r="D6" s="4" t="s">
        <v>44</v>
      </c>
      <c r="E6" s="4" t="s">
        <v>38</v>
      </c>
      <c r="F6" s="6">
        <v>2600.0</v>
      </c>
      <c r="G6" s="6">
        <v>36000.0</v>
      </c>
      <c r="H6" s="6">
        <v>540.0</v>
      </c>
      <c r="I6" s="6">
        <v>22.0</v>
      </c>
      <c r="J6" s="6">
        <v>4.0</v>
      </c>
    </row>
    <row r="7" ht="22.5" customHeight="1">
      <c r="A7" s="3">
        <v>45660.0</v>
      </c>
      <c r="B7" s="4" t="s">
        <v>45</v>
      </c>
      <c r="C7" s="5" t="s">
        <v>46</v>
      </c>
      <c r="D7" s="4" t="s">
        <v>37</v>
      </c>
      <c r="E7" s="4" t="s">
        <v>34</v>
      </c>
      <c r="F7" s="6">
        <v>3000.0</v>
      </c>
      <c r="G7" s="6">
        <v>33000.0</v>
      </c>
      <c r="H7" s="6">
        <v>410.0</v>
      </c>
      <c r="I7" s="6">
        <v>15.0</v>
      </c>
      <c r="J7" s="6">
        <v>7.0</v>
      </c>
    </row>
    <row r="8" ht="22.5" customHeight="1">
      <c r="A8" s="3">
        <v>45661.0</v>
      </c>
      <c r="B8" s="4" t="s">
        <v>31</v>
      </c>
      <c r="C8" s="5" t="s">
        <v>39</v>
      </c>
      <c r="D8" s="4" t="s">
        <v>33</v>
      </c>
      <c r="E8" s="4" t="s">
        <v>34</v>
      </c>
      <c r="F8" s="6">
        <v>3700.0</v>
      </c>
      <c r="G8" s="6">
        <v>48000.0</v>
      </c>
      <c r="H8" s="6">
        <v>600.0</v>
      </c>
      <c r="I8" s="6">
        <v>21.0</v>
      </c>
      <c r="J8" s="6">
        <v>9.0</v>
      </c>
    </row>
    <row r="9" ht="22.5" customHeight="1">
      <c r="A9" s="3">
        <v>45661.0</v>
      </c>
      <c r="B9" s="4" t="s">
        <v>35</v>
      </c>
      <c r="C9" s="5" t="s">
        <v>36</v>
      </c>
      <c r="D9" s="4" t="s">
        <v>42</v>
      </c>
      <c r="E9" s="4" t="s">
        <v>38</v>
      </c>
      <c r="F9" s="6">
        <v>2400.0</v>
      </c>
      <c r="G9" s="6">
        <v>34000.0</v>
      </c>
      <c r="H9" s="6">
        <v>510.0</v>
      </c>
      <c r="I9" s="6">
        <v>19.0</v>
      </c>
      <c r="J9" s="6">
        <v>4.0</v>
      </c>
    </row>
    <row r="10" ht="22.5" customHeight="1">
      <c r="A10" s="3">
        <v>45662.0</v>
      </c>
      <c r="B10" s="4" t="s">
        <v>40</v>
      </c>
      <c r="C10" s="5" t="s">
        <v>47</v>
      </c>
      <c r="D10" s="4" t="s">
        <v>44</v>
      </c>
      <c r="E10" s="4" t="s">
        <v>38</v>
      </c>
      <c r="F10" s="6">
        <v>1600.0</v>
      </c>
      <c r="G10" s="6">
        <v>22000.0</v>
      </c>
      <c r="H10" s="6">
        <v>300.0</v>
      </c>
      <c r="I10" s="6">
        <v>11.0</v>
      </c>
      <c r="J10" s="6">
        <v>2.0</v>
      </c>
    </row>
    <row r="11" ht="22.5" customHeight="1">
      <c r="A11" s="3">
        <v>45662.0</v>
      </c>
      <c r="B11" s="4" t="s">
        <v>45</v>
      </c>
      <c r="C11" s="5" t="s">
        <v>46</v>
      </c>
      <c r="D11" s="4" t="s">
        <v>37</v>
      </c>
      <c r="E11" s="4" t="s">
        <v>34</v>
      </c>
      <c r="F11" s="6">
        <v>3100.0</v>
      </c>
      <c r="G11" s="6">
        <v>35000.0</v>
      </c>
      <c r="H11" s="6">
        <v>430.0</v>
      </c>
      <c r="I11" s="6">
        <v>16.0</v>
      </c>
      <c r="J11" s="6">
        <v>7.0</v>
      </c>
    </row>
    <row r="12" ht="22.5" customHeight="1">
      <c r="A12" s="3">
        <v>45663.0</v>
      </c>
      <c r="B12" s="4" t="s">
        <v>31</v>
      </c>
      <c r="C12" s="5" t="s">
        <v>32</v>
      </c>
      <c r="D12" s="4" t="s">
        <v>33</v>
      </c>
      <c r="E12" s="4" t="s">
        <v>34</v>
      </c>
      <c r="F12" s="6">
        <v>3300.0</v>
      </c>
      <c r="G12" s="6">
        <v>44000.0</v>
      </c>
      <c r="H12" s="6">
        <v>550.0</v>
      </c>
      <c r="I12" s="6">
        <v>19.0</v>
      </c>
      <c r="J12" s="6">
        <v>8.0</v>
      </c>
    </row>
    <row r="13" ht="22.5" customHeight="1">
      <c r="A13" s="3">
        <v>45663.0</v>
      </c>
      <c r="B13" s="4" t="s">
        <v>35</v>
      </c>
      <c r="C13" s="5" t="s">
        <v>43</v>
      </c>
      <c r="D13" s="4" t="s">
        <v>37</v>
      </c>
      <c r="E13" s="4" t="s">
        <v>38</v>
      </c>
      <c r="F13" s="6">
        <v>2900.0</v>
      </c>
      <c r="G13" s="6">
        <v>41000.0</v>
      </c>
      <c r="H13" s="6">
        <v>620.0</v>
      </c>
      <c r="I13" s="6">
        <v>26.0</v>
      </c>
      <c r="J13" s="6">
        <v>5.0</v>
      </c>
    </row>
    <row r="14" ht="22.5" customHeight="1">
      <c r="A14" s="3">
        <v>45664.0</v>
      </c>
      <c r="B14" s="4" t="s">
        <v>31</v>
      </c>
      <c r="C14" s="5" t="s">
        <v>39</v>
      </c>
      <c r="D14" s="4" t="s">
        <v>33</v>
      </c>
      <c r="E14" s="4" t="s">
        <v>34</v>
      </c>
      <c r="F14" s="6">
        <v>3600.0</v>
      </c>
      <c r="G14" s="6">
        <v>47000.0</v>
      </c>
      <c r="H14" s="6">
        <v>590.0</v>
      </c>
      <c r="I14" s="6">
        <v>22.0</v>
      </c>
      <c r="J14" s="6">
        <v>9.0</v>
      </c>
    </row>
    <row r="15" ht="22.5" customHeight="1">
      <c r="A15" s="3">
        <v>45664.0</v>
      </c>
      <c r="B15" s="4" t="s">
        <v>40</v>
      </c>
      <c r="C15" s="5" t="s">
        <v>41</v>
      </c>
      <c r="D15" s="4" t="s">
        <v>42</v>
      </c>
      <c r="E15" s="4" t="s">
        <v>38</v>
      </c>
      <c r="F15" s="6">
        <v>1900.0</v>
      </c>
      <c r="G15" s="6">
        <v>28000.0</v>
      </c>
      <c r="H15" s="6">
        <v>410.0</v>
      </c>
      <c r="I15" s="6">
        <v>15.0</v>
      </c>
      <c r="J15" s="6">
        <v>3.0</v>
      </c>
    </row>
    <row r="16" ht="22.5" customHeight="1">
      <c r="A16" s="3">
        <v>45665.0</v>
      </c>
      <c r="B16" s="4" t="s">
        <v>35</v>
      </c>
      <c r="C16" s="5" t="s">
        <v>36</v>
      </c>
      <c r="D16" s="4" t="s">
        <v>44</v>
      </c>
      <c r="E16" s="4" t="s">
        <v>38</v>
      </c>
      <c r="F16" s="6">
        <v>2500.0</v>
      </c>
      <c r="G16" s="6">
        <v>37000.0</v>
      </c>
      <c r="H16" s="6">
        <v>560.0</v>
      </c>
      <c r="I16" s="6">
        <v>23.0</v>
      </c>
      <c r="J16" s="6">
        <v>4.0</v>
      </c>
    </row>
    <row r="17" ht="22.5" customHeight="1">
      <c r="A17" s="3">
        <v>45665.0</v>
      </c>
      <c r="B17" s="4" t="s">
        <v>45</v>
      </c>
      <c r="C17" s="5" t="s">
        <v>46</v>
      </c>
      <c r="D17" s="4" t="s">
        <v>37</v>
      </c>
      <c r="E17" s="4" t="s">
        <v>34</v>
      </c>
      <c r="F17" s="6">
        <v>3200.0</v>
      </c>
      <c r="G17" s="6">
        <v>36000.0</v>
      </c>
      <c r="H17" s="6">
        <v>440.0</v>
      </c>
      <c r="I17" s="6">
        <v>17.0</v>
      </c>
      <c r="J17" s="6">
        <v>8.0</v>
      </c>
    </row>
    <row r="18" ht="22.5" customHeight="1">
      <c r="A18" s="3">
        <v>45666.0</v>
      </c>
      <c r="B18" s="4" t="s">
        <v>31</v>
      </c>
      <c r="C18" s="5" t="s">
        <v>32</v>
      </c>
      <c r="D18" s="4" t="s">
        <v>33</v>
      </c>
      <c r="E18" s="4" t="s">
        <v>34</v>
      </c>
      <c r="F18" s="6">
        <v>3400.0</v>
      </c>
      <c r="G18" s="6">
        <v>45000.0</v>
      </c>
      <c r="H18" s="6">
        <v>570.0</v>
      </c>
      <c r="I18" s="6">
        <v>20.0</v>
      </c>
      <c r="J18" s="6">
        <v>8.0</v>
      </c>
    </row>
    <row r="19" ht="22.5" customHeight="1">
      <c r="A19" s="3">
        <v>45666.0</v>
      </c>
      <c r="B19" s="4" t="s">
        <v>35</v>
      </c>
      <c r="C19" s="5" t="s">
        <v>43</v>
      </c>
      <c r="D19" s="4" t="s">
        <v>42</v>
      </c>
      <c r="E19" s="4" t="s">
        <v>38</v>
      </c>
      <c r="F19" s="6">
        <v>2300.0</v>
      </c>
      <c r="G19" s="6">
        <v>33000.0</v>
      </c>
      <c r="H19" s="6">
        <v>480.0</v>
      </c>
      <c r="I19" s="6">
        <v>18.0</v>
      </c>
      <c r="J19" s="6">
        <v>3.0</v>
      </c>
    </row>
    <row r="20" ht="22.5" customHeight="1">
      <c r="A20" s="3">
        <v>45667.0</v>
      </c>
      <c r="B20" s="4" t="s">
        <v>40</v>
      </c>
      <c r="C20" s="5" t="s">
        <v>47</v>
      </c>
      <c r="D20" s="4" t="s">
        <v>44</v>
      </c>
      <c r="E20" s="4" t="s">
        <v>38</v>
      </c>
      <c r="F20" s="6">
        <v>1700.0</v>
      </c>
      <c r="G20" s="6">
        <v>24000.0</v>
      </c>
      <c r="H20" s="6">
        <v>320.0</v>
      </c>
      <c r="I20" s="6">
        <v>12.0</v>
      </c>
      <c r="J20" s="6">
        <v>2.0</v>
      </c>
    </row>
    <row r="21" ht="22.5" customHeight="1">
      <c r="A21" s="3">
        <v>45667.0</v>
      </c>
      <c r="B21" s="4" t="s">
        <v>45</v>
      </c>
      <c r="C21" s="5" t="s">
        <v>46</v>
      </c>
      <c r="D21" s="4" t="s">
        <v>37</v>
      </c>
      <c r="E21" s="4" t="s">
        <v>34</v>
      </c>
      <c r="F21" s="6">
        <v>3000.0</v>
      </c>
      <c r="G21" s="6">
        <v>34000.0</v>
      </c>
      <c r="H21" s="6">
        <v>420.0</v>
      </c>
      <c r="I21" s="6">
        <v>16.0</v>
      </c>
      <c r="J21" s="6">
        <v>7.0</v>
      </c>
    </row>
  </sheetData>
  <dataValidations>
    <dataValidation type="custom" allowBlank="1" showDropDown="1" sqref="A2:A21">
      <formula1>OR(NOT(ISERROR(DATEVALUE(A2))), AND(ISNUMBER(A2), LEFT(CELL("format", A2))="D"))</formula1>
    </dataValidation>
    <dataValidation type="list" allowBlank="1" showDropDown="1" showErrorMessage="1" sqref="D2:D21">
      <formula1>"Delhi,Mumbai,Bangalore,Pune"</formula1>
    </dataValidation>
    <dataValidation type="custom" allowBlank="1" showDropDown="1" sqref="F2:J21">
      <formula1>AND(ISNUMBER(F2),(NOT(OR(NOT(ISERROR(DATEVALUE(F2))), AND(ISNUMBER(F2), LEFT(CELL("format", F2))="D")))))</formula1>
    </dataValidation>
    <dataValidation type="list" allowBlank="1" showDropDown="1" showErrorMessage="1" sqref="E2:E21">
      <formula1>"Seller,Buyer"</formula1>
    </dataValidation>
    <dataValidation type="list" allowBlank="1" showDropDown="1" showErrorMessage="1" sqref="B2:B21">
      <formula1>"Seller Home Value,Buyer Listings,Open House Promo,Seller Downsizing"</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5"/>
    <col customWidth="1" min="3" max="3" width="22.75"/>
    <col customWidth="1" min="4" max="4" width="13.38"/>
    <col customWidth="1" min="5" max="5" width="16.63"/>
    <col customWidth="1" min="6" max="6" width="13.38"/>
    <col customWidth="1" min="7" max="7" width="17.88"/>
    <col customWidth="1" min="8" max="9" width="13.25"/>
    <col customWidth="1" min="10" max="10" width="25.5"/>
    <col customWidth="1" min="14" max="14" width="22.13"/>
  </cols>
  <sheetData>
    <row r="1" ht="22.5" customHeight="1">
      <c r="A1" s="2" t="s">
        <v>21</v>
      </c>
      <c r="B1" s="2" t="s">
        <v>22</v>
      </c>
      <c r="C1" s="2" t="s">
        <v>23</v>
      </c>
      <c r="D1" s="2" t="s">
        <v>24</v>
      </c>
      <c r="E1" s="2" t="s">
        <v>25</v>
      </c>
      <c r="F1" s="2" t="s">
        <v>26</v>
      </c>
      <c r="G1" s="2" t="s">
        <v>27</v>
      </c>
      <c r="H1" s="2" t="s">
        <v>28</v>
      </c>
      <c r="I1" s="2" t="s">
        <v>29</v>
      </c>
      <c r="J1" s="2" t="s">
        <v>30</v>
      </c>
      <c r="K1" s="7" t="s">
        <v>48</v>
      </c>
      <c r="L1" s="7" t="s">
        <v>49</v>
      </c>
      <c r="M1" s="7" t="s">
        <v>50</v>
      </c>
      <c r="N1" s="7" t="s">
        <v>51</v>
      </c>
    </row>
    <row r="2" ht="22.5" customHeight="1">
      <c r="A2" s="3">
        <v>45658.0</v>
      </c>
      <c r="B2" s="4" t="s">
        <v>31</v>
      </c>
      <c r="C2" s="5" t="s">
        <v>32</v>
      </c>
      <c r="D2" s="4" t="s">
        <v>33</v>
      </c>
      <c r="E2" s="4" t="s">
        <v>34</v>
      </c>
      <c r="F2" s="6">
        <v>3200.0</v>
      </c>
      <c r="G2" s="6">
        <v>42000.0</v>
      </c>
      <c r="H2" s="6">
        <v>520.0</v>
      </c>
      <c r="I2" s="6">
        <v>18.0</v>
      </c>
      <c r="J2" s="6">
        <v>6.0</v>
      </c>
      <c r="K2" s="8">
        <f t="shared" ref="K2:K21" si="1">IF(G2=0,0,H2/G2)</f>
        <v>0.01238095238</v>
      </c>
      <c r="L2" s="9">
        <f t="shared" ref="L2:L21" si="2">IF(H2=0,0,F2/H2)</f>
        <v>6.153846154</v>
      </c>
      <c r="M2" s="10">
        <f t="shared" ref="M2:M21" si="3">IF(I2=0,0,F2/I2)</f>
        <v>177.7777778</v>
      </c>
      <c r="N2" s="8">
        <f t="shared" ref="N2:N21" si="4">IF(I2=0,0,J2/I2)</f>
        <v>0.3333333333</v>
      </c>
    </row>
    <row r="3" ht="22.5" customHeight="1">
      <c r="A3" s="3">
        <v>45658.0</v>
      </c>
      <c r="B3" s="4" t="s">
        <v>35</v>
      </c>
      <c r="C3" s="5" t="s">
        <v>36</v>
      </c>
      <c r="D3" s="4" t="s">
        <v>37</v>
      </c>
      <c r="E3" s="4" t="s">
        <v>38</v>
      </c>
      <c r="F3" s="6">
        <v>2800.0</v>
      </c>
      <c r="G3" s="6">
        <v>39000.0</v>
      </c>
      <c r="H3" s="6">
        <v>610.0</v>
      </c>
      <c r="I3" s="6">
        <v>25.0</v>
      </c>
      <c r="J3" s="6">
        <v>5.0</v>
      </c>
      <c r="K3" s="8">
        <f t="shared" si="1"/>
        <v>0.01564102564</v>
      </c>
      <c r="L3" s="11">
        <f t="shared" si="2"/>
        <v>4.590163934</v>
      </c>
      <c r="M3" s="10">
        <f t="shared" si="3"/>
        <v>112</v>
      </c>
      <c r="N3" s="8">
        <f t="shared" si="4"/>
        <v>0.2</v>
      </c>
    </row>
    <row r="4" ht="22.5" customHeight="1">
      <c r="A4" s="3">
        <v>45659.0</v>
      </c>
      <c r="B4" s="4" t="s">
        <v>31</v>
      </c>
      <c r="C4" s="5" t="s">
        <v>39</v>
      </c>
      <c r="D4" s="4" t="s">
        <v>33</v>
      </c>
      <c r="E4" s="4" t="s">
        <v>34</v>
      </c>
      <c r="F4" s="6">
        <v>3500.0</v>
      </c>
      <c r="G4" s="6">
        <v>46000.0</v>
      </c>
      <c r="H4" s="6">
        <v>580.0</v>
      </c>
      <c r="I4" s="6">
        <v>20.0</v>
      </c>
      <c r="J4" s="6">
        <v>8.0</v>
      </c>
      <c r="K4" s="8">
        <f t="shared" si="1"/>
        <v>0.01260869565</v>
      </c>
      <c r="L4" s="11">
        <f t="shared" si="2"/>
        <v>6.034482759</v>
      </c>
      <c r="M4" s="10">
        <f t="shared" si="3"/>
        <v>175</v>
      </c>
      <c r="N4" s="8">
        <f t="shared" si="4"/>
        <v>0.4</v>
      </c>
    </row>
    <row r="5" ht="22.5" customHeight="1">
      <c r="A5" s="3">
        <v>45659.0</v>
      </c>
      <c r="B5" s="4" t="s">
        <v>40</v>
      </c>
      <c r="C5" s="5" t="s">
        <v>41</v>
      </c>
      <c r="D5" s="4" t="s">
        <v>42</v>
      </c>
      <c r="E5" s="4" t="s">
        <v>38</v>
      </c>
      <c r="F5" s="6">
        <v>1800.0</v>
      </c>
      <c r="G5" s="6">
        <v>27000.0</v>
      </c>
      <c r="H5" s="6">
        <v>390.0</v>
      </c>
      <c r="I5" s="6">
        <v>14.0</v>
      </c>
      <c r="J5" s="6">
        <v>3.0</v>
      </c>
      <c r="K5" s="8">
        <f t="shared" si="1"/>
        <v>0.01444444444</v>
      </c>
      <c r="L5" s="11">
        <f t="shared" si="2"/>
        <v>4.615384615</v>
      </c>
      <c r="M5" s="10">
        <f t="shared" si="3"/>
        <v>128.5714286</v>
      </c>
      <c r="N5" s="8">
        <f t="shared" si="4"/>
        <v>0.2142857143</v>
      </c>
    </row>
    <row r="6" ht="22.5" customHeight="1">
      <c r="A6" s="3">
        <v>45660.0</v>
      </c>
      <c r="B6" s="4" t="s">
        <v>35</v>
      </c>
      <c r="C6" s="5" t="s">
        <v>43</v>
      </c>
      <c r="D6" s="4" t="s">
        <v>44</v>
      </c>
      <c r="E6" s="4" t="s">
        <v>38</v>
      </c>
      <c r="F6" s="6">
        <v>2600.0</v>
      </c>
      <c r="G6" s="6">
        <v>36000.0</v>
      </c>
      <c r="H6" s="6">
        <v>540.0</v>
      </c>
      <c r="I6" s="6">
        <v>22.0</v>
      </c>
      <c r="J6" s="6">
        <v>4.0</v>
      </c>
      <c r="K6" s="8">
        <f t="shared" si="1"/>
        <v>0.015</v>
      </c>
      <c r="L6" s="11">
        <f t="shared" si="2"/>
        <v>4.814814815</v>
      </c>
      <c r="M6" s="10">
        <f t="shared" si="3"/>
        <v>118.1818182</v>
      </c>
      <c r="N6" s="8">
        <f t="shared" si="4"/>
        <v>0.1818181818</v>
      </c>
    </row>
    <row r="7" ht="22.5" customHeight="1">
      <c r="A7" s="3">
        <v>45660.0</v>
      </c>
      <c r="B7" s="4" t="s">
        <v>45</v>
      </c>
      <c r="C7" s="5" t="s">
        <v>46</v>
      </c>
      <c r="D7" s="4" t="s">
        <v>37</v>
      </c>
      <c r="E7" s="4" t="s">
        <v>34</v>
      </c>
      <c r="F7" s="6">
        <v>3000.0</v>
      </c>
      <c r="G7" s="6">
        <v>33000.0</v>
      </c>
      <c r="H7" s="6">
        <v>410.0</v>
      </c>
      <c r="I7" s="6">
        <v>15.0</v>
      </c>
      <c r="J7" s="6">
        <v>7.0</v>
      </c>
      <c r="K7" s="8">
        <f t="shared" si="1"/>
        <v>0.01242424242</v>
      </c>
      <c r="L7" s="11">
        <f t="shared" si="2"/>
        <v>7.317073171</v>
      </c>
      <c r="M7" s="10">
        <f t="shared" si="3"/>
        <v>200</v>
      </c>
      <c r="N7" s="8">
        <f t="shared" si="4"/>
        <v>0.4666666667</v>
      </c>
    </row>
    <row r="8" ht="22.5" customHeight="1">
      <c r="A8" s="3">
        <v>45661.0</v>
      </c>
      <c r="B8" s="4" t="s">
        <v>31</v>
      </c>
      <c r="C8" s="5" t="s">
        <v>39</v>
      </c>
      <c r="D8" s="4" t="s">
        <v>33</v>
      </c>
      <c r="E8" s="4" t="s">
        <v>34</v>
      </c>
      <c r="F8" s="6">
        <v>3700.0</v>
      </c>
      <c r="G8" s="6">
        <v>48000.0</v>
      </c>
      <c r="H8" s="6">
        <v>600.0</v>
      </c>
      <c r="I8" s="6">
        <v>21.0</v>
      </c>
      <c r="J8" s="6">
        <v>9.0</v>
      </c>
      <c r="K8" s="8">
        <f t="shared" si="1"/>
        <v>0.0125</v>
      </c>
      <c r="L8" s="11">
        <f t="shared" si="2"/>
        <v>6.166666667</v>
      </c>
      <c r="M8" s="10">
        <f t="shared" si="3"/>
        <v>176.1904762</v>
      </c>
      <c r="N8" s="8">
        <f t="shared" si="4"/>
        <v>0.4285714286</v>
      </c>
    </row>
    <row r="9" ht="22.5" customHeight="1">
      <c r="A9" s="3">
        <v>45661.0</v>
      </c>
      <c r="B9" s="4" t="s">
        <v>35</v>
      </c>
      <c r="C9" s="5" t="s">
        <v>36</v>
      </c>
      <c r="D9" s="4" t="s">
        <v>42</v>
      </c>
      <c r="E9" s="4" t="s">
        <v>38</v>
      </c>
      <c r="F9" s="6">
        <v>2400.0</v>
      </c>
      <c r="G9" s="6">
        <v>34000.0</v>
      </c>
      <c r="H9" s="6">
        <v>510.0</v>
      </c>
      <c r="I9" s="6">
        <v>19.0</v>
      </c>
      <c r="J9" s="6">
        <v>4.0</v>
      </c>
      <c r="K9" s="8">
        <f t="shared" si="1"/>
        <v>0.015</v>
      </c>
      <c r="L9" s="11">
        <f t="shared" si="2"/>
        <v>4.705882353</v>
      </c>
      <c r="M9" s="10">
        <f t="shared" si="3"/>
        <v>126.3157895</v>
      </c>
      <c r="N9" s="8">
        <f t="shared" si="4"/>
        <v>0.2105263158</v>
      </c>
    </row>
    <row r="10" ht="22.5" customHeight="1">
      <c r="A10" s="3">
        <v>45662.0</v>
      </c>
      <c r="B10" s="4" t="s">
        <v>40</v>
      </c>
      <c r="C10" s="5" t="s">
        <v>47</v>
      </c>
      <c r="D10" s="4" t="s">
        <v>44</v>
      </c>
      <c r="E10" s="4" t="s">
        <v>38</v>
      </c>
      <c r="F10" s="6">
        <v>1600.0</v>
      </c>
      <c r="G10" s="6">
        <v>22000.0</v>
      </c>
      <c r="H10" s="6">
        <v>300.0</v>
      </c>
      <c r="I10" s="6">
        <v>11.0</v>
      </c>
      <c r="J10" s="6">
        <v>2.0</v>
      </c>
      <c r="K10" s="8">
        <f t="shared" si="1"/>
        <v>0.01363636364</v>
      </c>
      <c r="L10" s="11">
        <f t="shared" si="2"/>
        <v>5.333333333</v>
      </c>
      <c r="M10" s="10">
        <f t="shared" si="3"/>
        <v>145.4545455</v>
      </c>
      <c r="N10" s="8">
        <f t="shared" si="4"/>
        <v>0.1818181818</v>
      </c>
    </row>
    <row r="11" ht="22.5" customHeight="1">
      <c r="A11" s="3">
        <v>45662.0</v>
      </c>
      <c r="B11" s="4" t="s">
        <v>45</v>
      </c>
      <c r="C11" s="5" t="s">
        <v>46</v>
      </c>
      <c r="D11" s="4" t="s">
        <v>37</v>
      </c>
      <c r="E11" s="4" t="s">
        <v>34</v>
      </c>
      <c r="F11" s="6">
        <v>3100.0</v>
      </c>
      <c r="G11" s="6">
        <v>35000.0</v>
      </c>
      <c r="H11" s="6">
        <v>430.0</v>
      </c>
      <c r="I11" s="6">
        <v>16.0</v>
      </c>
      <c r="J11" s="6">
        <v>7.0</v>
      </c>
      <c r="K11" s="8">
        <f t="shared" si="1"/>
        <v>0.01228571429</v>
      </c>
      <c r="L11" s="11">
        <f t="shared" si="2"/>
        <v>7.209302326</v>
      </c>
      <c r="M11" s="10">
        <f t="shared" si="3"/>
        <v>193.75</v>
      </c>
      <c r="N11" s="8">
        <f t="shared" si="4"/>
        <v>0.4375</v>
      </c>
    </row>
    <row r="12" ht="22.5" customHeight="1">
      <c r="A12" s="3">
        <v>45663.0</v>
      </c>
      <c r="B12" s="4" t="s">
        <v>31</v>
      </c>
      <c r="C12" s="5" t="s">
        <v>32</v>
      </c>
      <c r="D12" s="4" t="s">
        <v>33</v>
      </c>
      <c r="E12" s="4" t="s">
        <v>34</v>
      </c>
      <c r="F12" s="6">
        <v>3300.0</v>
      </c>
      <c r="G12" s="6">
        <v>44000.0</v>
      </c>
      <c r="H12" s="6">
        <v>550.0</v>
      </c>
      <c r="I12" s="6">
        <v>19.0</v>
      </c>
      <c r="J12" s="6">
        <v>8.0</v>
      </c>
      <c r="K12" s="8">
        <f t="shared" si="1"/>
        <v>0.0125</v>
      </c>
      <c r="L12" s="11">
        <f t="shared" si="2"/>
        <v>6</v>
      </c>
      <c r="M12" s="10">
        <f t="shared" si="3"/>
        <v>173.6842105</v>
      </c>
      <c r="N12" s="8">
        <f t="shared" si="4"/>
        <v>0.4210526316</v>
      </c>
    </row>
    <row r="13" ht="22.5" customHeight="1">
      <c r="A13" s="3">
        <v>45663.0</v>
      </c>
      <c r="B13" s="4" t="s">
        <v>35</v>
      </c>
      <c r="C13" s="5" t="s">
        <v>43</v>
      </c>
      <c r="D13" s="4" t="s">
        <v>37</v>
      </c>
      <c r="E13" s="4" t="s">
        <v>38</v>
      </c>
      <c r="F13" s="6">
        <v>2900.0</v>
      </c>
      <c r="G13" s="6">
        <v>41000.0</v>
      </c>
      <c r="H13" s="6">
        <v>620.0</v>
      </c>
      <c r="I13" s="6">
        <v>26.0</v>
      </c>
      <c r="J13" s="6">
        <v>5.0</v>
      </c>
      <c r="K13" s="8">
        <f t="shared" si="1"/>
        <v>0.01512195122</v>
      </c>
      <c r="L13" s="11">
        <f t="shared" si="2"/>
        <v>4.677419355</v>
      </c>
      <c r="M13" s="10">
        <f t="shared" si="3"/>
        <v>111.5384615</v>
      </c>
      <c r="N13" s="8">
        <f t="shared" si="4"/>
        <v>0.1923076923</v>
      </c>
    </row>
    <row r="14" ht="22.5" customHeight="1">
      <c r="A14" s="3">
        <v>45664.0</v>
      </c>
      <c r="B14" s="4" t="s">
        <v>31</v>
      </c>
      <c r="C14" s="5" t="s">
        <v>39</v>
      </c>
      <c r="D14" s="4" t="s">
        <v>33</v>
      </c>
      <c r="E14" s="4" t="s">
        <v>34</v>
      </c>
      <c r="F14" s="6">
        <v>3600.0</v>
      </c>
      <c r="G14" s="6">
        <v>47000.0</v>
      </c>
      <c r="H14" s="6">
        <v>590.0</v>
      </c>
      <c r="I14" s="6">
        <v>22.0</v>
      </c>
      <c r="J14" s="6">
        <v>9.0</v>
      </c>
      <c r="K14" s="8">
        <f t="shared" si="1"/>
        <v>0.01255319149</v>
      </c>
      <c r="L14" s="11">
        <f t="shared" si="2"/>
        <v>6.101694915</v>
      </c>
      <c r="M14" s="10">
        <f t="shared" si="3"/>
        <v>163.6363636</v>
      </c>
      <c r="N14" s="8">
        <f t="shared" si="4"/>
        <v>0.4090909091</v>
      </c>
    </row>
    <row r="15" ht="22.5" customHeight="1">
      <c r="A15" s="3">
        <v>45664.0</v>
      </c>
      <c r="B15" s="4" t="s">
        <v>40</v>
      </c>
      <c r="C15" s="5" t="s">
        <v>41</v>
      </c>
      <c r="D15" s="4" t="s">
        <v>42</v>
      </c>
      <c r="E15" s="4" t="s">
        <v>38</v>
      </c>
      <c r="F15" s="6">
        <v>1900.0</v>
      </c>
      <c r="G15" s="6">
        <v>28000.0</v>
      </c>
      <c r="H15" s="6">
        <v>410.0</v>
      </c>
      <c r="I15" s="6">
        <v>15.0</v>
      </c>
      <c r="J15" s="6">
        <v>3.0</v>
      </c>
      <c r="K15" s="8">
        <f t="shared" si="1"/>
        <v>0.01464285714</v>
      </c>
      <c r="L15" s="11">
        <f t="shared" si="2"/>
        <v>4.634146341</v>
      </c>
      <c r="M15" s="10">
        <f t="shared" si="3"/>
        <v>126.6666667</v>
      </c>
      <c r="N15" s="8">
        <f t="shared" si="4"/>
        <v>0.2</v>
      </c>
    </row>
    <row r="16" ht="22.5" customHeight="1">
      <c r="A16" s="3">
        <v>45665.0</v>
      </c>
      <c r="B16" s="4" t="s">
        <v>35</v>
      </c>
      <c r="C16" s="5" t="s">
        <v>36</v>
      </c>
      <c r="D16" s="4" t="s">
        <v>44</v>
      </c>
      <c r="E16" s="4" t="s">
        <v>38</v>
      </c>
      <c r="F16" s="6">
        <v>2500.0</v>
      </c>
      <c r="G16" s="6">
        <v>37000.0</v>
      </c>
      <c r="H16" s="6">
        <v>560.0</v>
      </c>
      <c r="I16" s="6">
        <v>23.0</v>
      </c>
      <c r="J16" s="6">
        <v>4.0</v>
      </c>
      <c r="K16" s="8">
        <f t="shared" si="1"/>
        <v>0.01513513514</v>
      </c>
      <c r="L16" s="11">
        <f t="shared" si="2"/>
        <v>4.464285714</v>
      </c>
      <c r="M16" s="10">
        <f t="shared" si="3"/>
        <v>108.6956522</v>
      </c>
      <c r="N16" s="8">
        <f t="shared" si="4"/>
        <v>0.1739130435</v>
      </c>
    </row>
    <row r="17" ht="22.5" customHeight="1">
      <c r="A17" s="3">
        <v>45665.0</v>
      </c>
      <c r="B17" s="4" t="s">
        <v>45</v>
      </c>
      <c r="C17" s="5" t="s">
        <v>46</v>
      </c>
      <c r="D17" s="4" t="s">
        <v>37</v>
      </c>
      <c r="E17" s="4" t="s">
        <v>34</v>
      </c>
      <c r="F17" s="6">
        <v>3200.0</v>
      </c>
      <c r="G17" s="6">
        <v>36000.0</v>
      </c>
      <c r="H17" s="6">
        <v>440.0</v>
      </c>
      <c r="I17" s="6">
        <v>17.0</v>
      </c>
      <c r="J17" s="6">
        <v>8.0</v>
      </c>
      <c r="K17" s="8">
        <f t="shared" si="1"/>
        <v>0.01222222222</v>
      </c>
      <c r="L17" s="11">
        <f t="shared" si="2"/>
        <v>7.272727273</v>
      </c>
      <c r="M17" s="10">
        <f t="shared" si="3"/>
        <v>188.2352941</v>
      </c>
      <c r="N17" s="8">
        <f t="shared" si="4"/>
        <v>0.4705882353</v>
      </c>
    </row>
    <row r="18" ht="22.5" customHeight="1">
      <c r="A18" s="3">
        <v>45666.0</v>
      </c>
      <c r="B18" s="4" t="s">
        <v>31</v>
      </c>
      <c r="C18" s="5" t="s">
        <v>32</v>
      </c>
      <c r="D18" s="4" t="s">
        <v>33</v>
      </c>
      <c r="E18" s="4" t="s">
        <v>34</v>
      </c>
      <c r="F18" s="6">
        <v>3400.0</v>
      </c>
      <c r="G18" s="6">
        <v>45000.0</v>
      </c>
      <c r="H18" s="6">
        <v>570.0</v>
      </c>
      <c r="I18" s="6">
        <v>20.0</v>
      </c>
      <c r="J18" s="6">
        <v>8.0</v>
      </c>
      <c r="K18" s="8">
        <f t="shared" si="1"/>
        <v>0.01266666667</v>
      </c>
      <c r="L18" s="11">
        <f t="shared" si="2"/>
        <v>5.964912281</v>
      </c>
      <c r="M18" s="10">
        <f t="shared" si="3"/>
        <v>170</v>
      </c>
      <c r="N18" s="8">
        <f t="shared" si="4"/>
        <v>0.4</v>
      </c>
    </row>
    <row r="19" ht="22.5" customHeight="1">
      <c r="A19" s="3">
        <v>45666.0</v>
      </c>
      <c r="B19" s="4" t="s">
        <v>35</v>
      </c>
      <c r="C19" s="5" t="s">
        <v>43</v>
      </c>
      <c r="D19" s="4" t="s">
        <v>42</v>
      </c>
      <c r="E19" s="4" t="s">
        <v>38</v>
      </c>
      <c r="F19" s="6">
        <v>2300.0</v>
      </c>
      <c r="G19" s="6">
        <v>33000.0</v>
      </c>
      <c r="H19" s="6">
        <v>480.0</v>
      </c>
      <c r="I19" s="6">
        <v>18.0</v>
      </c>
      <c r="J19" s="6">
        <v>3.0</v>
      </c>
      <c r="K19" s="8">
        <f t="shared" si="1"/>
        <v>0.01454545455</v>
      </c>
      <c r="L19" s="11">
        <f t="shared" si="2"/>
        <v>4.791666667</v>
      </c>
      <c r="M19" s="10">
        <f t="shared" si="3"/>
        <v>127.7777778</v>
      </c>
      <c r="N19" s="8">
        <f t="shared" si="4"/>
        <v>0.1666666667</v>
      </c>
    </row>
    <row r="20" ht="22.5" customHeight="1">
      <c r="A20" s="3">
        <v>45667.0</v>
      </c>
      <c r="B20" s="4" t="s">
        <v>40</v>
      </c>
      <c r="C20" s="5" t="s">
        <v>47</v>
      </c>
      <c r="D20" s="4" t="s">
        <v>44</v>
      </c>
      <c r="E20" s="4" t="s">
        <v>38</v>
      </c>
      <c r="F20" s="6">
        <v>1700.0</v>
      </c>
      <c r="G20" s="6">
        <v>24000.0</v>
      </c>
      <c r="H20" s="6">
        <v>320.0</v>
      </c>
      <c r="I20" s="6">
        <v>12.0</v>
      </c>
      <c r="J20" s="6">
        <v>2.0</v>
      </c>
      <c r="K20" s="8">
        <f t="shared" si="1"/>
        <v>0.01333333333</v>
      </c>
      <c r="L20" s="11">
        <f t="shared" si="2"/>
        <v>5.3125</v>
      </c>
      <c r="M20" s="10">
        <f t="shared" si="3"/>
        <v>141.6666667</v>
      </c>
      <c r="N20" s="8">
        <f t="shared" si="4"/>
        <v>0.1666666667</v>
      </c>
    </row>
    <row r="21" ht="22.5" customHeight="1">
      <c r="A21" s="3">
        <v>45667.0</v>
      </c>
      <c r="B21" s="4" t="s">
        <v>45</v>
      </c>
      <c r="C21" s="5" t="s">
        <v>46</v>
      </c>
      <c r="D21" s="4" t="s">
        <v>37</v>
      </c>
      <c r="E21" s="4" t="s">
        <v>34</v>
      </c>
      <c r="F21" s="6">
        <v>3000.0</v>
      </c>
      <c r="G21" s="6">
        <v>34000.0</v>
      </c>
      <c r="H21" s="6">
        <v>420.0</v>
      </c>
      <c r="I21" s="6">
        <v>16.0</v>
      </c>
      <c r="J21" s="6">
        <v>7.0</v>
      </c>
      <c r="K21" s="8">
        <f t="shared" si="1"/>
        <v>0.01235294118</v>
      </c>
      <c r="L21" s="11">
        <f t="shared" si="2"/>
        <v>7.142857143</v>
      </c>
      <c r="M21" s="10">
        <f t="shared" si="3"/>
        <v>187.5</v>
      </c>
      <c r="N21" s="8">
        <f t="shared" si="4"/>
        <v>0.4375</v>
      </c>
    </row>
  </sheetData>
  <dataValidations>
    <dataValidation type="custom" allowBlank="1" showDropDown="1" sqref="A2:A21">
      <formula1>OR(NOT(ISERROR(DATEVALUE(A2))), AND(ISNUMBER(A2), LEFT(CELL("format", A2))="D"))</formula1>
    </dataValidation>
    <dataValidation type="list" allowBlank="1" showDropDown="1" showErrorMessage="1" sqref="D2:D21">
      <formula1>"Delhi,Mumbai,Bangalore,Pune"</formula1>
    </dataValidation>
    <dataValidation type="custom" allowBlank="1" showDropDown="1" sqref="F2:K21 M2:N21">
      <formula1>AND(ISNUMBER(F2),(NOT(OR(NOT(ISERROR(DATEVALUE(F2))), AND(ISNUMBER(F2), LEFT(CELL("format", F2))="D")))))</formula1>
    </dataValidation>
    <dataValidation type="list" allowBlank="1" showDropDown="1" showErrorMessage="1" sqref="E2:E21">
      <formula1>"Seller,Buyer"</formula1>
    </dataValidation>
    <dataValidation type="list" allowBlank="1" showDropDown="1" showErrorMessage="1" sqref="B2:B21">
      <formula1>"Seller Home Value,Buyer Listings,Open House Promo,Seller Downsizing"</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1.5"/>
    <col customWidth="1" min="3" max="3" width="22.75"/>
    <col customWidth="1" min="4" max="4" width="13.38"/>
    <col customWidth="1" min="5" max="5" width="16.63"/>
    <col customWidth="1" min="6" max="6" width="13.38"/>
    <col customWidth="1" min="7" max="7" width="17.88"/>
    <col customWidth="1" min="8" max="9" width="13.25"/>
    <col customWidth="1" min="10" max="10" width="25.5"/>
    <col customWidth="1" min="14" max="14" width="22.13"/>
  </cols>
  <sheetData>
    <row r="1">
      <c r="A1" s="12" t="s">
        <v>52</v>
      </c>
    </row>
    <row r="3"/>
    <row r="4"/>
    <row r="5"/>
    <row r="6"/>
    <row r="7"/>
    <row r="8"/>
    <row r="11"/>
    <row r="12"/>
    <row r="13"/>
    <row r="14"/>
    <row r="17"/>
    <row r="18"/>
    <row r="19"/>
    <row r="20"/>
    <row r="21"/>
    <row r="22"/>
    <row r="25"/>
    <row r="26"/>
    <row r="27"/>
    <row r="28"/>
    <row r="29"/>
    <row r="30"/>
    <row r="31"/>
    <row r="32"/>
    <row r="33"/>
    <row r="34"/>
    <row r="35"/>
    <row r="36"/>
  </sheetData>
  <printOptions gridLines="1" horizontalCentered="1"/>
  <pageMargins bottom="0.75" footer="0.0" header="0.0" left="0.7" right="0.7" top="0.75"/>
  <pageSetup fitToHeight="0" paperSize="9" cellComments="atEnd" orientation="landscape" pageOrder="overThenDown"/>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17" t="s">
        <v>24</v>
      </c>
      <c r="B3" s="17" t="s">
        <v>60</v>
      </c>
    </row>
    <row r="4" ht="22.5" customHeight="1">
      <c r="A4" s="18" t="s">
        <v>42</v>
      </c>
      <c r="B4" s="19">
        <v>66.0</v>
      </c>
      <c r="I4" s="17" t="s">
        <v>21</v>
      </c>
      <c r="J4" s="17" t="s">
        <v>61</v>
      </c>
      <c r="K4" s="17" t="s">
        <v>60</v>
      </c>
    </row>
    <row r="5" ht="22.5" customHeight="1">
      <c r="A5" s="18" t="s">
        <v>33</v>
      </c>
      <c r="B5" s="19">
        <v>120.0</v>
      </c>
      <c r="I5" s="20">
        <v>46023.0</v>
      </c>
      <c r="J5" s="19">
        <v>6000.0</v>
      </c>
      <c r="K5" s="19">
        <v>43.0</v>
      </c>
    </row>
    <row r="6" ht="22.5" customHeight="1">
      <c r="A6" s="18" t="s">
        <v>37</v>
      </c>
      <c r="B6" s="19">
        <v>115.0</v>
      </c>
      <c r="I6" s="20">
        <v>46024.0</v>
      </c>
      <c r="J6" s="19">
        <v>5300.0</v>
      </c>
      <c r="K6" s="19">
        <v>34.0</v>
      </c>
    </row>
    <row r="7" ht="22.5" customHeight="1">
      <c r="A7" s="18" t="s">
        <v>44</v>
      </c>
      <c r="B7" s="19">
        <v>68.0</v>
      </c>
      <c r="I7" s="20">
        <v>46025.0</v>
      </c>
      <c r="J7" s="19">
        <v>5600.0</v>
      </c>
      <c r="K7" s="19">
        <v>37.0</v>
      </c>
    </row>
    <row r="8" ht="22.5" customHeight="1">
      <c r="I8" s="20">
        <v>46026.0</v>
      </c>
      <c r="J8" s="19">
        <v>6100.0</v>
      </c>
      <c r="K8" s="19">
        <v>40.0</v>
      </c>
    </row>
    <row r="9" ht="22.5" customHeight="1">
      <c r="I9" s="20">
        <v>46027.0</v>
      </c>
      <c r="J9" s="19">
        <v>4700.0</v>
      </c>
      <c r="K9" s="19">
        <v>27.0</v>
      </c>
    </row>
    <row r="10" ht="22.5" customHeight="1">
      <c r="I10" s="20">
        <v>46028.0</v>
      </c>
      <c r="J10" s="19">
        <v>6200.0</v>
      </c>
      <c r="K10" s="19">
        <v>45.0</v>
      </c>
    </row>
    <row r="11" ht="22.5" customHeight="1">
      <c r="I11" s="20">
        <v>46029.0</v>
      </c>
      <c r="J11" s="19">
        <v>5500.0</v>
      </c>
      <c r="K11" s="19">
        <v>37.0</v>
      </c>
    </row>
    <row r="12" ht="22.5" customHeight="1">
      <c r="I12" s="20">
        <v>46030.0</v>
      </c>
      <c r="J12" s="19">
        <v>5700.0</v>
      </c>
      <c r="K12" s="19">
        <v>40.0</v>
      </c>
    </row>
    <row r="13" ht="22.5" customHeight="1">
      <c r="I13" s="20">
        <v>46031.0</v>
      </c>
      <c r="J13" s="19">
        <v>5700.0</v>
      </c>
      <c r="K13" s="19">
        <v>38.0</v>
      </c>
    </row>
    <row r="14" ht="22.5" customHeight="1">
      <c r="I14" s="20">
        <v>46032.0</v>
      </c>
      <c r="J14" s="19">
        <v>4700.0</v>
      </c>
      <c r="K14" s="19">
        <v>28.0</v>
      </c>
    </row>
  </sheetData>
  <dataValidations>
    <dataValidation type="custom" allowBlank="1" showDropDown="1" sqref="B4:B7 J5:K14">
      <formula1>AND(ISNUMBER(B4),(NOT(OR(NOT(ISERROR(DATEVALUE(B4))), AND(ISNUMBER(B4), LEFT(CELL("format", B4))="D")))))</formula1>
    </dataValidation>
    <dataValidation type="custom" allowBlank="1" showDropDown="1" sqref="I5:I14">
      <formula1>OR(NOT(ISERROR(DATEVALUE(I5))), AND(ISNUMBER(I5), LEFT(CELL("format", I5))="D"))</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5"/>
    <col customWidth="1" min="2" max="5" width="12.63"/>
  </cols>
  <sheetData>
    <row r="3" ht="309.0" customHeight="1">
      <c r="A3" s="21" t="s">
        <v>62</v>
      </c>
    </row>
    <row r="5" ht="22.5" customHeight="1">
      <c r="A5" s="17" t="s">
        <v>63</v>
      </c>
      <c r="B5" s="17" t="s">
        <v>64</v>
      </c>
    </row>
    <row r="6" ht="22.5" customHeight="1">
      <c r="A6" s="22" t="s">
        <v>65</v>
      </c>
      <c r="B6" s="18" t="s">
        <v>66</v>
      </c>
    </row>
    <row r="7" ht="22.5" customHeight="1">
      <c r="A7" s="22" t="s">
        <v>67</v>
      </c>
      <c r="B7" s="18">
        <v>369.0</v>
      </c>
    </row>
    <row r="8" ht="22.5" customHeight="1">
      <c r="A8" s="22" t="s">
        <v>68</v>
      </c>
      <c r="B8" s="18">
        <v>112.0</v>
      </c>
    </row>
    <row r="9" ht="22.5" customHeight="1">
      <c r="A9" s="22" t="s">
        <v>69</v>
      </c>
      <c r="B9" s="18" t="s">
        <v>70</v>
      </c>
    </row>
    <row r="10" ht="22.5" customHeight="1">
      <c r="A10" s="22" t="s">
        <v>71</v>
      </c>
      <c r="B10" s="23">
        <v>0.3046</v>
      </c>
    </row>
    <row r="12">
      <c r="A12" s="24"/>
    </row>
  </sheetData>
  <mergeCells count="2">
    <mergeCell ref="A3:E3"/>
    <mergeCell ref="A12:E12"/>
  </mergeCells>
  <drawing r:id="rId1"/>
  <tableParts count="1">
    <tablePart r:id="rId3"/>
  </tableParts>
</worksheet>
</file>